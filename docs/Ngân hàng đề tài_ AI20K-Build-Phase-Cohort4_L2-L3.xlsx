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480" activeTab="1"/>
  </bookViews>
  <sheets>
    <sheet name="Danh sách đề tài" sheetId="1" r:id="rId1"/>
    <sheet name="Sheet1" sheetId="2" r:id="rId2"/>
  </sheets>
  <definedNames>
    <definedName name="_xlnm._FilterDatabase" localSheetId="0" hidden="1">'Danh sách đề tài'!$A$1:$K$70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<sst xmlns="http://schemas.openxmlformats.org/spreadsheetml/2006/main" count="702" uniqueCount="349">
  <si>
    <t>Mã đề</t>
  </si>
  <si>
    <t>Nhóm chủ đề</t>
  </si>
  <si>
    <t>Chủ đề gốc</t>
  </si>
  <si>
    <t>Tên đề tài</t>
  </si>
  <si>
    <t>Dữ liệu</t>
  </si>
  <si>
    <t>Mô tả</t>
  </si>
  <si>
    <t>Chỉ số đo (baseline → pilot)</t>
  </si>
  <si>
    <t>Mức độ</t>
  </si>
  <si>
    <t>Slot</t>
  </si>
  <si>
    <t>Nhóm đăng ký</t>
  </si>
  <si>
    <t>Còn trống</t>
  </si>
  <si>
    <t>N1-01A</t>
  </si>
  <si>
    <t>Nhóm 1 – Giảm thao tác tay</t>
  </si>
  <si>
    <t>01 · 3D semi-auto labelling</t>
  </si>
  <si>
    <t>Pre-label cuboid bằng model 3D pretrained</t>
  </si>
  <si>
    <t>nuScenes</t>
  </si>
  <si>
    <t>Chạy detector LiDAR có sẵn (CenterPoint/PointPillars qua OpenPCDet hoặc MMDetection3D), đổ kết quả vào CVAT 3D làm nhãn nháp để người chỉnh và duyệt.</t>
  </si>
  <si>
    <t>Thời gian/cuboid so với làm tay; % cuboid giữ nguyên/sửa/xoá; IoU 3D so với ground truth.</t>
  </si>
  <si>
    <t>Nâng cao</t>
  </si>
  <si>
    <t>N1-01B</t>
  </si>
  <si>
    <t>Cuboid từ bbox 2D chiếu sang LiDAR (frustum)</t>
  </si>
  <si>
    <t>nuScenes (camera + LiDAR)</t>
  </si>
  <si>
    <t>Dùng bbox 2D trên ảnh camera và ma trận calibration để cắt vùng điểm LiDAR, gom cụm rồi fit cuboid và hướng.</t>
  </si>
  <si>
    <t>Thời gian/cuboid; IoU 3D; sai số orientation (yaw).</t>
  </si>
  <si>
    <t/>
  </si>
  <si>
    <t>N1-01C</t>
  </si>
  <si>
    <t>Click tâm vật thể → cuboid theo kích thước chuẩn của class</t>
  </si>
  <si>
    <t>Người chỉ click vào vật thể và chọn class; tool lấy kích thước trung bình theo class, ước lượng hướng từ phân bố điểm rồi đặt sẵn cuboid.</t>
  </si>
  <si>
    <t>Số thao tác/cuboid; thời gian/cuboid; sai số yaw và kích thước.</t>
  </si>
  <si>
    <t>Trung bình</t>
  </si>
  <si>
    <t>N1-02A</t>
  </si>
  <si>
    <t>02 · Tracking vật thể qua frame</t>
  </si>
  <si>
    <t>Tracking bbox 2D bằng detector + tracker</t>
  </si>
  <si>
    <t>BDD100K (MOT)</t>
  </si>
  <si>
    <t>Chạy detector (YOLO) kết hợp tracker (ByteTrack/SORT), import vào CVAT dưới dạng track để người chỉ sửa chỗ lệch.</t>
  </si>
  <si>
    <t>Số lần vẽ lại/chuỗi; số ID switch; thời gian/chuỗi frame.</t>
  </si>
  <si>
    <t>N1-02B</t>
  </si>
  <si>
    <t>Propagate cuboid 3D qua frame bằng ego-pose</t>
  </si>
  <si>
    <t>Dùng ego-pose bù chuyển động xe và nội suy giữa các keyframe để đề xuất cuboid cho frame kế tiếp, giữ nguyên ID.</t>
  </si>
  <si>
    <t>Số keyframe phải chỉnh tay; số lần ID đứt; thời gian/chuỗi.</t>
  </si>
  <si>
    <t>N1-02C</t>
  </si>
  <si>
    <t>Propagate landmark qua frame video</t>
  </si>
  <si>
    <t>DMD (video khoang xe)</t>
  </si>
  <si>
    <t>Đặt landmark ở frame đầu, tool dùng optical flow hoặc model landmark đề xuất cho các frame sau, người chỉ sửa điểm lệch.</t>
  </si>
  <si>
    <t>NME so với ground truth; số điểm phải sửa/frame; thời gian/chuỗi.</t>
  </si>
  <si>
    <t>N1-02D</t>
  </si>
  <si>
    <t>Soát tính liên tục của ID trong track</t>
  </si>
  <si>
    <t>BDD100K (MOT), nuScenes</t>
  </si>
  <si>
    <t>Quét nhãn track đã gán, phát hiện ID đổi giữa chừng, track đứt quãng, box nhảy vị trí bất thường; gợi ý gộp hoặc nối ID.</t>
  </si>
  <si>
    <t>Số lỗi ID bắt được trước review; số vòng bị trả lại vì lỗi ID.</t>
  </si>
  <si>
    <t>Cơ bản</t>
  </si>
  <si>
    <t>N1-03A</t>
  </si>
  <si>
    <t>03 · Converter giữa các định dạng</t>
  </si>
  <si>
    <t>Converter nhãn 2D: CVAT ↔ COCO ↔ YOLO</t>
  </si>
  <si>
    <t>BDD100K</t>
  </si>
  <si>
    <t>Chuyển bbox và polygon segmentation qua lại giữa CVAT XML, COCO JSON và YOLO, giữ thuộc tính và track ID.</t>
  </si>
  <si>
    <t>Bộ test round-trip: số vật thể, class, thuộc tính, ID trước = sau; thời gian chuyển so với làm tay.</t>
  </si>
  <si>
    <t>N1-03B</t>
  </si>
  <si>
    <t>Converter nhãn 3D: CVAT 3D / 3D-BAT ↔ nuScenes / KITTI</t>
  </si>
  <si>
    <t>Chuyển cuboid giữa các định dạng, xử lý hệ toạ độ và quaternion ↔ yaw, giữ ID.</t>
  </si>
  <si>
    <t>Số vật thể khớp 100% sau round-trip; sai số vị trí/hướng ≈ 0.</t>
  </si>
  <si>
    <t>N1-03C</t>
  </si>
  <si>
    <t>Quy đổi landmark 98 → 50 điểm và COCO ↔ CVAT skeleton</t>
  </si>
  <si>
    <t>WFLW, COCO Keypoints</t>
  </si>
  <si>
    <t>Tự động quy đổi bộ 98 điểm WFLW sang bộ 50 điểm của khách hàng; chuyển keypoint COCO qua lại skeleton CVAT, giữ cờ visibility.</t>
  </si>
  <si>
    <t>Thời gian quy đổi so với làm tay ở tuần 2; số điểm sai mapping trên bộ test = 0.</t>
  </si>
  <si>
    <t>N1-03D</t>
  </si>
  <si>
    <t>Export tự động và versioning bộ nhãn</t>
  </si>
  <si>
    <t>Cả năm bộ</t>
  </si>
  <si>
    <t>Kéo nhãn từ CVAT API theo lịch, convert sang định dạng chuẩn, version bằng DVC/Git LFS và in diff giữa hai phiên bản (vật thể thêm/sửa/xoá).</t>
  </si>
  <si>
    <t>Thời gian xuất và đóng gói một batch; số lần xuất lỗi; diff đúng trên bộ test.</t>
  </si>
  <si>
    <t>N2-04A</t>
  </si>
  <si>
    <t>Nhóm 2 – Giữ chất lượng</t>
  </si>
  <si>
    <t>04 · Quality control check</t>
  </si>
  <si>
    <t>QC tự động cho bbox và segmentation 2D</t>
  </si>
  <si>
    <t>Rule kiểm tra trước khi nộp: box ngoài ảnh hoặc quá nhỏ, box trùng cùng class, thiếu thuộc tính bắt buộc, polygon tự cắt, mask lệch box. Trả danh sách lỗi kèm frame và ID.</t>
  </si>
  <si>
    <t>Số vòng bị trả lại/job; % lỗi bắt được trước review chéo.</t>
  </si>
  <si>
    <t>N2-04B</t>
  </si>
  <si>
    <t>QC landmark khuôn mặt và khớp người</t>
  </si>
  <si>
    <t>Kiểm tra đủ số điểm, điểm bị đảo trái/phải, hình học bất thường (tỉ lệ khoảng cách), điểm bị che thiếu cờ visibility.</t>
  </si>
  <si>
    <t>Số vòng bị trả lại; NME trước/sau khi dùng tool.</t>
  </si>
  <si>
    <t>N2-04C</t>
  </si>
  <si>
    <t>QC cuboid 3D</t>
  </si>
  <si>
    <t>Đánh dấu cuboid có quá ít điểm LiDAR bên trong, kích thước phi lý theo class, cuboid chồng nhau, hướng ngược chiều di chuyển.</t>
  </si>
  <si>
    <t>Số vòng bị trả lại; IoU 3D trước/sau khi dùng tool.</t>
  </si>
  <si>
    <t>N2-04D</t>
  </si>
  <si>
    <t>Model-assisted QC: bắt vật thể bị sót và sai class</t>
  </si>
  <si>
    <t>So nhãn người với dự đoán của model pretrained; vùng model thấy vật thể mà người chưa gán, hoặc hai bên khác class, được đẩy lên đầu danh sách review.</t>
  </si>
  <si>
    <t>Tỉ lệ bắt được lỗi sót vật thể và sai class; số vòng bị trả lại.</t>
  </si>
  <si>
    <t>N2-05A</t>
  </si>
  <si>
    <t>05 · Dashboard thống kê</t>
  </si>
  <si>
    <t>Dashboard tiến độ và hạn nộp</t>
  </si>
  <si>
    <t>CVAT API</t>
  </si>
  <si>
    <t>Theo dõi số job theo trạng thái, thời gian/job và job sắp trễ hạn thứ 7, theo từng người và từng nhóm.</t>
  </si>
  <si>
    <t>Thời gian nhóm trưởng nắm được tiến độ; số job trễ hạn so với ba tuần manual.</t>
  </si>
  <si>
    <t>N2-05B</t>
  </si>
  <si>
    <t>Dashboard phân bố class và thuộc tính dữ liệu</t>
  </si>
  <si>
    <t>BDD100K, nuScenes</t>
  </si>
  <si>
    <t>Thống kê phân bố class, kích thước box, độ che khuất, thời tiết và thời điểm; cảnh báo class lệch tỉ lệ.</t>
  </si>
  <si>
    <t>Số class/thuộc tính lệch phát hiện được; thời gian trả lời một câu hỏi thống kê so với làm tay.</t>
  </si>
  <si>
    <t>N2-05C</t>
  </si>
  <si>
    <t>Tự động soạn báo cáo trước phiên mentor</t>
  </si>
  <si>
    <t>CVAT API + GitHub</t>
  </si>
  <si>
    <t>Gom tiến độ batch, điểm chấm, danh sách ca khó kèm link job và câu hỏi mở thành bản nháp báo cáo bốn mục cho nhóm trưởng.</t>
  </si>
  <si>
    <t>Thời gian soạn báo cáo thứ 5 và Chủ nhật trước/sau; số lần nộp sau 12:00.</t>
  </si>
  <si>
    <t>N2-06A</t>
  </si>
  <si>
    <t>06 · Calibration tool cho nhóm trưởng</t>
  </si>
  <si>
    <t>Đo đồng thuận bbox/segmentation giữa các thành viên</t>
  </si>
  <si>
    <t>Ghép cặp vật thể giữa các người gán (Hungarian theo IoU), tính chỉ số đồng thuận theo từng người và từng class.</t>
  </si>
  <si>
    <t>Chỉ số đồng thuận theo người; mức cải thiện đồng thuận giữa đầu và cuối sprint.</t>
  </si>
  <si>
    <t>N2-06B</t>
  </si>
  <si>
    <t>Đồng thuận landmark theo vùng khuôn mặt</t>
  </si>
  <si>
    <t>WFLW</t>
  </si>
  <si>
    <t>Tính NME giữa các thành viên theo vùng (mắt, mũi, môi, viền mặt), chỉ ra vùng hay lệch để chốt lại guideline.</t>
  </si>
  <si>
    <t>NME giữa người theo vùng, trước và sau khi chốt lại guideline.</t>
  </si>
  <si>
    <t>N2-06C</t>
  </si>
  <si>
    <t>Gợi ý chia job theo năng lực và tải</t>
  </si>
  <si>
    <t>Kết quả chấm + CVAT API</t>
  </si>
  <si>
    <t>Dùng điểm chất lượng và thời gian/job của từng người theo loại dữ liệu để đề xuất chia job cân tải và đúng thế mạnh.</t>
  </si>
  <si>
    <t>Độ lệch khối lượng việc giữa các thành viên; điểm chất lượng nhóm không giảm.</t>
  </si>
  <si>
    <t>N3-07A</t>
  </si>
  <si>
    <t>Nhóm 3 – Tạo và tìm dữ liệu</t>
  </si>
  <si>
    <t>07 · Data mining tìm ca hiếm</t>
  </si>
  <si>
    <t>Chọn ảnh khó theo độ bất định của model</t>
  </si>
  <si>
    <t>Chạy detector trên kho ảnh chưa gán, xếp hạng theo độ bất định hoặc mức bất đồng giữa hai model, xuất bộ ảnh nên gán trước.</t>
  </si>
  <si>
    <t>Tỉ lệ ca khó trong top-K so với chọn ngẫu nhiên.</t>
  </si>
  <si>
    <t>N3-07B</t>
  </si>
  <si>
    <t>Tìm ca hiếm bằng truy vấn văn bản (CLIP)</t>
  </si>
  <si>
    <t>Embed ảnh bằng CLIP, cho phép truy vấn kiểu "người đi bộ ban đêm dưới mưa", kết hợp lọc theo metadata.</t>
  </si>
  <si>
    <t>Precision@K; thời gian tìm đủ N ca so với lọc tay.</t>
  </si>
  <si>
    <t>N3-07C</t>
  </si>
  <si>
    <t>Khai thác frame hiếm trong dữ liệu LiDAR</t>
  </si>
  <si>
    <t>Lọc frame có class hiếm, vật thể xa ít điểm, cảnh đông hoặc thời tiết xấu dựa trên nhãn và metadata.</t>
  </si>
  <si>
    <t>Precision@K; số ca hiếm tìm được/giờ.</t>
  </si>
  <si>
    <t>N3-07D</t>
  </si>
  <si>
    <t>Loại ảnh trùng và gần trùng trước khi gán</t>
  </si>
  <si>
    <t>BDD100K, DMD</t>
  </si>
  <si>
    <t>Dùng perceptual hash hoặc embedding gom các ảnh gần giống (frame liên tiếp, cảnh đứng yên), chỉ giữ ảnh đại diện.</t>
  </si>
  <si>
    <t>% ảnh trùng loại bỏ; thời gian gán nhãn tiết kiệm được.</t>
  </si>
  <si>
    <t>N3-08A</t>
  </si>
  <si>
    <t>08 · Synthetic data cho xe tự lái</t>
  </si>
  <si>
    <t>Đổi điều kiện ảnh: ngày → đêm, khô → mưa, giữ nguyên nhãn</t>
  </si>
  <si>
    <t>Dùng diffusion có điều khiển (ControlNet/img2img) đổi thời tiết và ánh sáng mà giữ bố cục, nên bbox gốc vẫn dùng được.</t>
  </si>
  <si>
    <t>Tỉ lệ ảnh giữ đúng nhãn (qua người duyệt); số ảnh có nhãn/giờ.</t>
  </si>
  <si>
    <t>N3-08B</t>
  </si>
  <si>
    <t>Copy-paste vật thể để sinh ca hiếm</t>
  </si>
  <si>
    <t>Cắt vật thể đã có mask (người, xe đạp) dán vào cảnh khác đúng tỉ lệ và vị trí hợp lý, sinh nhãn tự động.</t>
  </si>
  <si>
    <t>Tỉ lệ ảnh qua review; số ảnh có nhãn/giờ.</t>
  </si>
  <si>
    <t>N3-08C</t>
  </si>
  <si>
    <t>Chèn vật thể và mô phỏng thời tiết trong point cloud</t>
  </si>
  <si>
    <t>Lấy điểm LiDAR của vật thể đã gán chèn vào scene khác kèm cuboid; mô phỏng mưa/sương bằng cách bỏ bớt và làm nhiễu điểm.</t>
  </si>
  <si>
    <t>Tỉ lệ scene hợp lệ (không chồng vật thể, đúng mặt đường); số scene/giờ.</t>
  </si>
  <si>
    <t>N3-08D</t>
  </si>
  <si>
    <t>Sinh biến thể ảnh khoang xe kèm landmark</t>
  </si>
  <si>
    <t>DMD, WFLW</t>
  </si>
  <si>
    <t>Sinh ảnh thiếu sáng, ngược sáng, đeo kính hoặc khẩu trang; landmark biến đổi theo và gắn cờ cho điểm bị che.</t>
  </si>
  <si>
    <t>Tỉ lệ ảnh qua review; NME của landmark sau biến đổi.</t>
  </si>
  <si>
    <t>N3-09A</t>
  </si>
  <si>
    <t>09 · Real2Sim</t>
  </si>
  <si>
    <t>Tái dựng cảnh nuScenes trong CARLA</t>
  </si>
  <si>
    <t>nuScenes + CARLA</t>
  </si>
  <si>
    <t>Đọc cuboid và ego-pose của cảnh đã gán, đặt xe và người tương ứng trong CARLA, đổi thời tiết và góc camera để render biến thể kèm nhãn.</t>
  </si>
  <si>
    <t>Sai số vị trí vật thể sau tái dựng; số biến thể có nhãn/cảnh.</t>
  </si>
  <si>
    <t>N3-09B</t>
  </si>
  <si>
    <t>Xuất cảnh thật thành kịch bản mô phỏng</t>
  </si>
  <si>
    <t>nuScenes + esmini/CARLA</t>
  </si>
  <si>
    <t>Chuyển quỹ đạo các vật thể đã gán thành kịch bản OpenSCENARIO, sinh biến thể đổi tốc độ và khoảng cách để tạo tình huống hiếm.</t>
  </si>
  <si>
    <t>Sai số quỹ đạo khi phát lại; số kịch bản hợp lệ sinh được.</t>
  </si>
  <si>
    <t>N3-10A</t>
  </si>
  <si>
    <t>10 · Sim2Real</t>
  </si>
  <si>
    <t>Pre-label dữ liệu thật bằng model học từ dữ liệu mô phỏng</t>
  </si>
  <si>
    <t>Virtual KITTI 2/SHIFT + BDD100K</t>
  </si>
  <si>
    <t>Huấn luyện hoặc fine-tune detector trên dữ liệu mô phỏng có sẵn nhãn, dùng để pre-label ảnh thật; đo chênh giữa hai miền.</t>
  </si>
  <si>
    <t>Chênh mAP giữa miền mô phỏng và miền thật; thời gian sửa nhãn so với gán từ đầu.</t>
  </si>
  <si>
    <t>N3-10B</t>
  </si>
  <si>
    <t>Thu hẹp khoảng cách miền bằng style transfer</t>
  </si>
  <si>
    <t>Biến ảnh mô phỏng cho giống ảnh thật (CycleGAN hoặc img2img) rồi so chất lượng pre-label trước và sau.</t>
  </si>
  <si>
    <t>Chênh mAP trước/sau style transfer; tỉ lệ nhãn pre-label được giữ lại.</t>
  </si>
  <si>
    <t>M01</t>
  </si>
  <si>
    <t>Catalogue mở rộng</t>
  </si>
  <si>
    <t>Data Exploration</t>
  </si>
  <si>
    <t>Khám phá dataset BDD100K trước khi label</t>
  </si>
  <si>
    <t>Phân tích cấu trúc, số ảnh, độ phân giải, metadata/scene và phát hiện vấn đề dữ liệu trước annotation. Đầu ra: Notebook/report EDA + bảng thống kê + 5–10 insight có hành động.</t>
  </si>
  <si>
    <t>Coverage, số lỗi phát hiện, tính hữu ích insight</t>
  </si>
  <si>
    <t>M02</t>
  </si>
  <si>
    <t>Data Quality Scanner cho ảnh đầu vào</t>
  </si>
  <si>
    <t>BDD100K / dữ liệu VF giả lập</t>
  </si>
  <si>
    <t>Tự động phát hiện ảnh lỗi trước khi giao annotator: corrupt, quá tối/sáng, blur, kích thước bất thường. Đầu ra: CLI/app scan folder + CSV/HTML report + danh sách ảnh cần loại/review.</t>
  </si>
  <si>
    <t>Precision/recall trên tập lỗi thủ công</t>
  </si>
  <si>
    <t>M05</t>
  </si>
  <si>
    <t>Object Size &amp; Distance Proxy Analysis</t>
  </si>
  <si>
    <t>BDD100K / KITTI</t>
  </si>
  <si>
    <t>Phân tích small/medium/large object để xác định ảnh khó cho annotation. Đầu ra: Report phân bố bbox size + danh sách hard images.</t>
  </si>
  <si>
    <t>Coverage theo scale, hard-case yield</t>
  </si>
  <si>
    <t>M06</t>
  </si>
  <si>
    <t>Scene Diversity Sampler</t>
  </si>
  <si>
    <t>Chọn subset đại diện cho day/night, highway/city, weather, traffic density. Đầu ra: Script chọn 100–500 ảnh đa dạng + diversity report.</t>
  </si>
  <si>
    <t>Diversity score, metadata coverage</t>
  </si>
  <si>
    <t>M07</t>
  </si>
  <si>
    <t>Calibration Set Builder</t>
  </si>
  <si>
    <t>Tạo bộ 10–30 ảnh chứa edge case để tất cả annotator label giống nhau và đo disagreement. Đầu ra: Calibration set + answer key/GT + rubric.</t>
  </si>
  <si>
    <t>Inter-annotator agreement, error reduction after calibration</t>
  </si>
  <si>
    <t>M11</t>
  </si>
  <si>
    <t>Annotation &amp; QC</t>
  </si>
  <si>
    <t>Annotation Error Taxonomy &amp; Analyzer</t>
  </si>
  <si>
    <t>BDD100K/KITTI</t>
  </si>
  <si>
    <t>Chuẩn hoá lỗi: missing, wrong class, loose/tight box, duplicate, occlusion attr, ID switch. Đầu ra: Error taxonomy + script/report thống kê lỗi theo annotator/team.</t>
  </si>
  <si>
    <t>Error coverage, agreement giữa reviewer</t>
  </si>
  <si>
    <t>M13</t>
  </si>
  <si>
    <t>Reviewer Prioritization Assistant</t>
  </si>
  <si>
    <t>Ưu tiên ảnh/frame có nguy cơ sai cao thay vì review đều 100%. Đầu ra: Ranked review queue + lý do score.</t>
  </si>
  <si>
    <t>Recall lỗi trong top 20%, review time saved</t>
  </si>
  <si>
    <t>M14</t>
  </si>
  <si>
    <t>Guideline Decision Log App</t>
  </si>
  <si>
    <t>Mọi task</t>
  </si>
  <si>
    <t>Quản lý edge case → quyết định → phiên bản guideline để tránh mỗi mentor trả lời khác nhau. Đầu ra: Mini web app/searchable log + export Markdown/PDF.</t>
  </si>
  <si>
    <t>Time-to-answer, số case tái sử dụng</t>
  </si>
  <si>
    <t>M15</t>
  </si>
  <si>
    <t>Guideline Consistency Checker</t>
  </si>
  <si>
    <t>CVAT Project</t>
  </si>
  <si>
    <t>Kiểm tra taxonomy/class/attribute trong guideline có khớp CVAT project schema không. Đầu ra: Script so sánh guideline config với CVAT label schema.</t>
  </si>
  <si>
    <t>Số mismatch phát hiện</t>
  </si>
  <si>
    <t>M17</t>
  </si>
  <si>
    <t>Hidden Gold/Honeypot Evaluation Builder</t>
  </si>
  <si>
    <t>Chèn các ảnh có GT vào batch để đo chất lượng mà học viên không biết. Đầu ra: Tool tạo batch + mapping GT + score report.</t>
  </si>
  <si>
    <t>IoU/mIoU/NME, detection rate</t>
  </si>
  <si>
    <t>M18</t>
  </si>
  <si>
    <t>CVAT &amp; Tooling</t>
  </si>
  <si>
    <t>CVAT Task Generator cho nhiều team</t>
  </si>
  <si>
    <t>Tự tạo task G01–G10/Gxx, upload data, labels, assign jobs. Đầu ra: Script one-click tạo project/task theo config.</t>
  </si>
  <si>
    <t>Thời gian setup, tỷ lệ task tạo thành công</t>
  </si>
  <si>
    <t>M21</t>
  </si>
  <si>
    <t>CVAT Shortcut &amp; Workflow Optimizer</t>
  </si>
  <si>
    <t>Đo thao tác thừa và đề xuất shortcut/workflow annotation nhanh hơn. Đầu ra: SOP + benchmark manual trước/sau.</t>
  </si>
  <si>
    <t>Time/image, error rate</t>
  </si>
  <si>
    <t>M22</t>
  </si>
  <si>
    <t>CVAT Issue Analytics Dashboard</t>
  </si>
  <si>
    <t>CVAT</t>
  </si>
  <si>
    <t>Phân tích issue/comment từ reviewer để tìm lỗi lặp lại. Đầu ra: Dashboard top lỗi, class khó, annotator cần hỗ trợ.</t>
  </si>
  <si>
    <t>Issue recurrence, resolution time</t>
  </si>
  <si>
    <t>M23</t>
  </si>
  <si>
    <t>Bulk Annotation Validator CLI</t>
  </si>
  <si>
    <t>COCO/CVAT/YOLO</t>
  </si>
  <si>
    <t>Validate hàng loạt file trước khi import CVAT. Đầu ra: CLI trả PASS/FAIL + chi tiết lỗi.</t>
  </si>
  <si>
    <t>Import failure reduction</t>
  </si>
  <si>
    <t>M24</t>
  </si>
  <si>
    <t>AI-assisted Annotation</t>
  </si>
  <si>
    <t>YOLO Pre-Annotation Pipeline</t>
  </si>
  <si>
    <t>Dùng model pretrained để sinh bbox rồi import vào CVAT cho human correction. Đầu ra: End-to-end inference → convert → CVAT import + benchmark.</t>
  </si>
  <si>
    <t>Time saved, precision/recall, correction rate</t>
  </si>
  <si>
    <t>M25</t>
  </si>
  <si>
    <t>RT-DETR Pre-Annotation Pipeline</t>
  </si>
  <si>
    <t>So sánh transformer detector với YOLO trong pre-label automotive. Đầu ra: Pipeline pre-label + benchmark vs YOLO.</t>
  </si>
  <si>
    <t>mAP, latency, correction rate</t>
  </si>
  <si>
    <t>M26</t>
  </si>
  <si>
    <t>SAM/SAM2 Assisted Segmentation</t>
  </si>
  <si>
    <t>BDD100K segmentation</t>
  </si>
  <si>
    <t>Tạo mask gợi ý từ box/point rồi annotator chỉnh. Đầu ra: Demo app/CVAT workflow + time comparison.</t>
  </si>
  <si>
    <t>mIoU, clicks/object, time saved</t>
  </si>
  <si>
    <t>M27</t>
  </si>
  <si>
    <t>Pose Pre-Labeling Assistant</t>
  </si>
  <si>
    <t>COCO/DMD</t>
  </si>
  <si>
    <t>Sinh keypoint người trước rồi human review. Đầu ra: Pre-label pose + convert sang CVAT skeleton.</t>
  </si>
  <si>
    <t>NME/PCK, correction rate</t>
  </si>
  <si>
    <t>M28</t>
  </si>
  <si>
    <t>Face Landmark Pre-Labeling Assistant</t>
  </si>
  <si>
    <t>WFLW / in-cabin</t>
  </si>
  <si>
    <t>Pre-label facial landmarks và đánh dấu điểm confidence thấp. Đầu ra: Tool inference + mapping ontology + overlay.</t>
  </si>
  <si>
    <t>NME, point correction rate</t>
  </si>
  <si>
    <t>M29</t>
  </si>
  <si>
    <t>Confidence-Based Human Review</t>
  </si>
  <si>
    <t>Chỉ bắt reviewer xem prediction có confidence thấp hoặc bất thường. Đầu ra: Review policy + queue + benchmark.</t>
  </si>
  <si>
    <t>Error recall, review workload reduction</t>
  </si>
  <si>
    <t>M31</t>
  </si>
  <si>
    <t>Auto-Label Correction Estimator</t>
  </si>
  <si>
    <t>Ước lượng pre-label nào cần sửa nhiều để quyết định dùng model hay manual. Đầu ra: Prediction quality score + expected correction effort.</t>
  </si>
  <si>
    <t>MAE correction time, time saved</t>
  </si>
  <si>
    <t>M32</t>
  </si>
  <si>
    <t>Model Training</t>
  </si>
  <si>
    <t>Fine-tune YOLO Detection trên dataset đã label</t>
  </si>
  <si>
    <t>BDD100K subset</t>
  </si>
  <si>
    <t>Dùng chính annotation của team để fine-tune detector. Đầu ra: Train/eval report + model weights + inference demo.</t>
  </si>
  <si>
    <t>mAP50-95, precision, recall</t>
  </si>
  <si>
    <t>M33</t>
  </si>
  <si>
    <t>Fine-tune Semantic Segmentation Model</t>
  </si>
  <si>
    <t>Train model segmentation từ mask học viên tạo. Đầu ra: Model + mIoU report + visualization.</t>
  </si>
  <si>
    <t>mIoU, per-class IoU</t>
  </si>
  <si>
    <t>M35</t>
  </si>
  <si>
    <t>Hard Example Fine-Tuning</t>
  </si>
  <si>
    <t>Chỉ fine-tune bằng edge cases mà model hiện tại sai. Đầu ra: Before/after evaluation trên hard subset.</t>
  </si>
  <si>
    <t>Hard-set recall/mAP gain</t>
  </si>
  <si>
    <t>M36</t>
  </si>
  <si>
    <t>Pseudo-Labeling Experiment</t>
  </si>
  <si>
    <t>BDD100K unlabeled subset</t>
  </si>
  <si>
    <t>Dùng model label dữ liệu chưa có GT rồi lọc confidence để retrain. Đầu ra: Pseudo-label pipeline + ablation.</t>
  </si>
  <si>
    <t>mAP gain vs baseline</t>
  </si>
  <si>
    <t>M38</t>
  </si>
  <si>
    <t>Model Compression for Edge Pre-Labeling</t>
  </si>
  <si>
    <t>Tối ưu model để chạy pre-label trên laptop/edge. Đầu ra: ONNX/TFLite model + latency benchmark.</t>
  </si>
  <si>
    <t>Latency, throughput, mAP drop</t>
  </si>
  <si>
    <t>M39</t>
  </si>
  <si>
    <t>Tracking &amp; 3D</t>
  </si>
  <si>
    <t>KITTI Tracking → CVAT Conversion Toolkit</t>
  </si>
  <si>
    <t>KITTI Tracking</t>
  </si>
  <si>
    <t>Chuyển KITTI tracking GT thành CVAT/MOT-friendly format để dạy Track. Đầu ra: Converter + 3 sample sequences + import guide.</t>
  </si>
  <si>
    <t>ID preservation, import success</t>
  </si>
  <si>
    <t>M40</t>
  </si>
  <si>
    <t>UA-DETRAC Mini Dataset Builder</t>
  </si>
  <si>
    <t>UA-DETRAC</t>
  </si>
  <si>
    <t>Tạo mini automotive tracking set có GT từ 5–20 sequence. Đầu ra: Curated mini dataset + train/val + GT + difficulty labels.</t>
  </si>
  <si>
    <t>GT integrity, diversity</t>
  </si>
  <si>
    <t>M43</t>
  </si>
  <si>
    <t>nuScenes-mini → 3D Annotation Teaching Pack</t>
  </si>
  <si>
    <t>nuScenes-mini</t>
  </si>
  <si>
    <t>Chuẩn bị subset student/teacher cho 3D cuboid + GT. Đầu ra: Folder student/teacher + converter + instructions.</t>
  </si>
  <si>
    <t>Import success, GT fidelity</t>
  </si>
  <si>
    <t>M44</t>
  </si>
  <si>
    <t>2D–3D Consistency Checker</t>
  </si>
  <si>
    <t>nuScenes / KITTI</t>
  </si>
  <si>
    <t>Kiểm tra cuboid 3D khi project lên camera có phù hợp 2D object không. Đầu ra: Visualization + consistency score.</t>
  </si>
  <si>
    <t>Reprojection error, mismatch recall</t>
  </si>
  <si>
    <t>M45</t>
  </si>
  <si>
    <t>LiDAR Point Density &amp; Annotation Difficulty Analyzer</t>
  </si>
  <si>
    <t>Phân tích object xa có ít point → khó dựng cuboid thế nào. Đầu ra: Report density vs distance/class + hard case list.</t>
  </si>
  <si>
    <t>Correlation density-error, hard-case precision</t>
  </si>
  <si>
    <t>M46</t>
  </si>
  <si>
    <t>Apps &amp; Platform</t>
  </si>
  <si>
    <t>Annotation Project Management Mini-App</t>
  </si>
  <si>
    <t>Theo dõi team, task, deadline, quality gate, reviewer và issue. Đầu ra: Web app demo + persistent database.</t>
  </si>
  <si>
    <t>Usability, task sync success</t>
  </si>
  <si>
    <t>M47</t>
  </si>
  <si>
    <t>Dataset Card Generator</t>
  </si>
  <si>
    <t>Mọi dataset</t>
  </si>
  <si>
    <t>Tự sinh dataset documentation sau mỗi batch. Đầu ra: Markdown/HTML dataset card: source, classes, stats, limitations, license.</t>
  </si>
  <si>
    <t>Completeness, reproducibility</t>
  </si>
  <si>
    <t>M48</t>
  </si>
  <si>
    <t>Annotation Cost &amp; Capacity Estimator</t>
  </si>
  <si>
    <t>CVAT logs</t>
  </si>
  <si>
    <t>Ước lượng thời gian/chi phí cho bbox, polygon, segmentation, keypoint, 3D. Đầu ra: Estimator spreadsheet/web app + calibration data.</t>
  </si>
  <si>
    <t>MAPE estimate, planning usefulness</t>
  </si>
  <si>
    <t>M49</t>
  </si>
  <si>
    <t>Human vs AI Annotation Benchmark Portal</t>
  </si>
  <si>
    <t>So sánh manual, AI-prelabel, AI+human trên cùng benchmark. Đầu ra: Portal/dashboard với quality, speed, correction rate.</t>
  </si>
  <si>
    <t>IoU/mAP/time/cost</t>
  </si>
  <si>
    <t>M50</t>
  </si>
  <si>
    <t>End-to-End Human-in-the-Loop Annotation Lab</t>
  </si>
  <si>
    <t>BDD100K + dữ liệu unlabeled</t>
  </si>
  <si>
    <t>Xây pipeline hoàn chỉnh: sample → pre-label → CVAT → review → retrain → chọn hard cases → vòng mới. Đầu ra: Demo end-to-end + dataset versioned + model before/after + report.</t>
  </si>
  <si>
    <t>Quality gain, annotation time saved, reproducibility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</si>
</sst>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0"/>
      <color rgb="FF000000"/>
      <name val="Arial"/>
      <charset val="134"/>
      <scheme val="minor"/>
    </font>
    <font>
      <b/>
      <sz val="10"/>
      <color rgb="FFFFFFFF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274479"/>
        <bgColor rgb="FF274479"/>
      </patternFill>
    </fill>
    <fill>
      <patternFill patternType="solid">
        <fgColor rgb="FFFFFF00"/>
        <bgColor rgb="FFE1EEFD"/>
      </patternFill>
    </fill>
    <fill>
      <patternFill patternType="solid">
        <fgColor rgb="FFECE7F7"/>
        <bgColor rgb="FFECE7F7"/>
      </patternFill>
    </fill>
    <fill>
      <patternFill patternType="solid">
        <fgColor rgb="FFFFFF00"/>
        <bgColor rgb="FFECE7F7"/>
      </patternFill>
    </fill>
    <fill>
      <patternFill patternType="solid">
        <fgColor rgb="FFE1EEFD"/>
        <bgColor rgb="FFE1EEFD"/>
      </patternFill>
    </fill>
    <fill>
      <patternFill patternType="solid">
        <fgColor rgb="FFFBEEDF"/>
        <bgColor rgb="FFFBEEDF"/>
      </patternFill>
    </fill>
    <fill>
      <patternFill patternType="solid">
        <fgColor rgb="FFE7F6E7"/>
        <bgColor rgb="FFE7F6E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medium">
        <color rgb="FF595959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9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0" borderId="7" applyNumberFormat="0" applyAlignment="0" applyProtection="0">
      <alignment vertical="center"/>
    </xf>
    <xf numFmtId="0" fontId="14" fillId="11" borderId="8" applyNumberFormat="0" applyAlignment="0" applyProtection="0">
      <alignment vertical="center"/>
    </xf>
    <xf numFmtId="0" fontId="15" fillId="11" borderId="7" applyNumberFormat="0" applyAlignment="0" applyProtection="0">
      <alignment vertical="center"/>
    </xf>
    <xf numFmtId="0" fontId="16" fillId="12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</cellStyleXfs>
  <cellXfs count="58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vertical="center" wrapText="1"/>
    </xf>
    <xf numFmtId="0" fontId="2" fillId="7" borderId="3" xfId="0" applyFont="1" applyFill="1" applyBorder="1" applyAlignment="1">
      <alignment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2" fillId="7" borderId="2" xfId="0" applyFont="1" applyFill="1" applyBorder="1" applyAlignment="1">
      <alignment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vertical="center" wrapText="1"/>
    </xf>
    <xf numFmtId="0" fontId="2" fillId="8" borderId="3" xfId="0" applyFont="1" applyFill="1" applyBorder="1" applyAlignment="1">
      <alignment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vertical="center" wrapText="1"/>
    </xf>
    <xf numFmtId="0" fontId="2" fillId="8" borderId="2" xfId="0" applyFont="1" applyFill="1" applyBorder="1" applyAlignment="1">
      <alignment vertical="center" wrapText="1"/>
    </xf>
    <xf numFmtId="0" fontId="3" fillId="8" borderId="2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ont>
        <color rgb="FFFFFFFF"/>
      </font>
      <fill>
        <patternFill patternType="solid">
          <fgColor rgb="FFCC0000"/>
          <bgColor rgb="FFCC0000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70"/>
  <sheetViews>
    <sheetView zoomScale="70" zoomScaleNormal="70" workbookViewId="0">
      <pane xSplit="1" ySplit="1" topLeftCell="B35" activePane="bottomRight" state="frozen"/>
      <selection/>
      <selection pane="topRight"/>
      <selection pane="bottomLeft"/>
      <selection pane="bottomRight" activeCell="A70" sqref="$A70:$XFD70"/>
    </sheetView>
  </sheetViews>
  <sheetFormatPr defaultColWidth="12.6283185840708" defaultRowHeight="15.75" customHeight="1"/>
  <cols>
    <col min="1" max="1" width="10.1327433628319" customWidth="1"/>
    <col min="2" max="2" width="21.3805309734513" customWidth="1"/>
    <col min="3" max="3" width="26.3805309734513" customWidth="1"/>
    <col min="4" max="4" width="32.6283185840708" customWidth="1"/>
    <col min="5" max="5" width="18.8761061946903" customWidth="1"/>
    <col min="6" max="6" width="47.6283185840708" customWidth="1"/>
    <col min="7" max="7" width="37.6283185840708" customWidth="1"/>
    <col min="8" max="8" width="11.3805309734513" customWidth="1"/>
    <col min="9" max="9" width="7" customWidth="1"/>
    <col min="10" max="10" width="23.8761061946903" customWidth="1"/>
    <col min="11" max="11" width="10.1327433628319" customWidth="1"/>
  </cols>
  <sheetData>
    <row r="1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Height="1" spans="1:11">
      <c r="A2" s="22" t="s">
        <v>11</v>
      </c>
      <c r="B2" s="23" t="s">
        <v>12</v>
      </c>
      <c r="C2" s="23" t="s">
        <v>13</v>
      </c>
      <c r="D2" s="24" t="s">
        <v>14</v>
      </c>
      <c r="E2" s="23" t="s">
        <v>15</v>
      </c>
      <c r="F2" s="23" t="s">
        <v>16</v>
      </c>
      <c r="G2" s="23" t="s">
        <v>17</v>
      </c>
      <c r="H2" s="25" t="s">
        <v>18</v>
      </c>
      <c r="I2" s="25">
        <v>2</v>
      </c>
      <c r="J2" s="25"/>
      <c r="K2" s="22">
        <f>IFERROR(__xludf.DUMMYFUNCTION("I2-IF(LEN(TRIM(J2))=0,0,COUNTA(SPLIT(J2,"","")))"),2)</f>
        <v>2</v>
      </c>
    </row>
    <row r="3" customHeight="1" spans="1:11">
      <c r="A3" s="22" t="s">
        <v>19</v>
      </c>
      <c r="B3" s="23" t="s">
        <v>12</v>
      </c>
      <c r="C3" s="23" t="s">
        <v>13</v>
      </c>
      <c r="D3" s="24" t="s">
        <v>20</v>
      </c>
      <c r="E3" s="23" t="s">
        <v>21</v>
      </c>
      <c r="F3" s="23" t="s">
        <v>22</v>
      </c>
      <c r="G3" s="23" t="s">
        <v>23</v>
      </c>
      <c r="H3" s="25" t="s">
        <v>18</v>
      </c>
      <c r="I3" s="25">
        <v>2</v>
      </c>
      <c r="J3" s="25" t="s">
        <v>24</v>
      </c>
      <c r="K3" s="22">
        <f>IFERROR(__xludf.DUMMYFUNCTION("I3-IF(LEN(TRIM(J3))=0,0,COUNTA(SPLIT(J3,"","")))"),2)</f>
        <v>2</v>
      </c>
    </row>
    <row r="4" customHeight="1" spans="1:11">
      <c r="A4" s="26" t="s">
        <v>25</v>
      </c>
      <c r="B4" s="27" t="s">
        <v>12</v>
      </c>
      <c r="C4" s="27" t="s">
        <v>13</v>
      </c>
      <c r="D4" s="28" t="s">
        <v>26</v>
      </c>
      <c r="E4" s="27" t="s">
        <v>15</v>
      </c>
      <c r="F4" s="27" t="s">
        <v>27</v>
      </c>
      <c r="G4" s="27" t="s">
        <v>28</v>
      </c>
      <c r="H4" s="29" t="s">
        <v>29</v>
      </c>
      <c r="I4" s="29">
        <v>2</v>
      </c>
      <c r="J4" s="29" t="s">
        <v>24</v>
      </c>
      <c r="K4" s="26">
        <f>IFERROR(__xludf.DUMMYFUNCTION("I4-IF(LEN(TRIM(J4))=0,0,COUNTA(SPLIT(J4,"","")))"),2)</f>
        <v>2</v>
      </c>
    </row>
    <row r="5" customHeight="1" spans="1:11">
      <c r="A5" s="30" t="s">
        <v>30</v>
      </c>
      <c r="B5" s="31" t="s">
        <v>12</v>
      </c>
      <c r="C5" s="31" t="s">
        <v>31</v>
      </c>
      <c r="D5" s="32" t="s">
        <v>32</v>
      </c>
      <c r="E5" s="31" t="s">
        <v>33</v>
      </c>
      <c r="F5" s="31" t="s">
        <v>34</v>
      </c>
      <c r="G5" s="31" t="s">
        <v>35</v>
      </c>
      <c r="H5" s="33" t="s">
        <v>29</v>
      </c>
      <c r="I5" s="33">
        <v>2</v>
      </c>
      <c r="J5" s="33" t="s">
        <v>24</v>
      </c>
      <c r="K5" s="30">
        <f>IFERROR(__xludf.DUMMYFUNCTION("I5-IF(LEN(TRIM(J5))=0,0,COUNTA(SPLIT(J5,"","")))"),2)</f>
        <v>2</v>
      </c>
    </row>
    <row r="6" customHeight="1" spans="1:11">
      <c r="A6" s="22" t="s">
        <v>36</v>
      </c>
      <c r="B6" s="23" t="s">
        <v>12</v>
      </c>
      <c r="C6" s="23" t="s">
        <v>31</v>
      </c>
      <c r="D6" s="24" t="s">
        <v>37</v>
      </c>
      <c r="E6" s="23" t="s">
        <v>15</v>
      </c>
      <c r="F6" s="23" t="s">
        <v>38</v>
      </c>
      <c r="G6" s="23" t="s">
        <v>39</v>
      </c>
      <c r="H6" s="25" t="s">
        <v>18</v>
      </c>
      <c r="I6" s="25">
        <v>2</v>
      </c>
      <c r="J6" s="25" t="s">
        <v>24</v>
      </c>
      <c r="K6" s="22">
        <f>IFERROR(__xludf.DUMMYFUNCTION("I6-IF(LEN(TRIM(J6))=0,0,COUNTA(SPLIT(J6,"","")))"),2)</f>
        <v>2</v>
      </c>
    </row>
    <row r="7" customHeight="1" spans="1:11">
      <c r="A7" s="22" t="s">
        <v>40</v>
      </c>
      <c r="B7" s="23" t="s">
        <v>12</v>
      </c>
      <c r="C7" s="23" t="s">
        <v>31</v>
      </c>
      <c r="D7" s="24" t="s">
        <v>41</v>
      </c>
      <c r="E7" s="23" t="s">
        <v>42</v>
      </c>
      <c r="F7" s="23" t="s">
        <v>43</v>
      </c>
      <c r="G7" s="23" t="s">
        <v>44</v>
      </c>
      <c r="H7" s="25" t="s">
        <v>29</v>
      </c>
      <c r="I7" s="25">
        <v>2</v>
      </c>
      <c r="J7" s="25" t="s">
        <v>24</v>
      </c>
      <c r="K7" s="22">
        <f>IFERROR(__xludf.DUMMYFUNCTION("I7-IF(LEN(TRIM(J7))=0,0,COUNTA(SPLIT(J7,"","")))"),2)</f>
        <v>2</v>
      </c>
    </row>
    <row r="8" customHeight="1" spans="1:11">
      <c r="A8" s="26" t="s">
        <v>45</v>
      </c>
      <c r="B8" s="27" t="s">
        <v>12</v>
      </c>
      <c r="C8" s="27" t="s">
        <v>31</v>
      </c>
      <c r="D8" s="28" t="s">
        <v>46</v>
      </c>
      <c r="E8" s="27" t="s">
        <v>47</v>
      </c>
      <c r="F8" s="27" t="s">
        <v>48</v>
      </c>
      <c r="G8" s="27" t="s">
        <v>49</v>
      </c>
      <c r="H8" s="29" t="s">
        <v>50</v>
      </c>
      <c r="I8" s="29">
        <v>2</v>
      </c>
      <c r="J8" s="29" t="s">
        <v>24</v>
      </c>
      <c r="K8" s="26">
        <f>IFERROR(__xludf.DUMMYFUNCTION("I8-IF(LEN(TRIM(J8))=0,0,COUNTA(SPLIT(J8,"","")))"),2)</f>
        <v>2</v>
      </c>
    </row>
    <row r="9" customHeight="1" spans="1:11">
      <c r="A9" s="30" t="s">
        <v>51</v>
      </c>
      <c r="B9" s="31" t="s">
        <v>12</v>
      </c>
      <c r="C9" s="31" t="s">
        <v>52</v>
      </c>
      <c r="D9" s="32" t="s">
        <v>53</v>
      </c>
      <c r="E9" s="31" t="s">
        <v>54</v>
      </c>
      <c r="F9" s="31" t="s">
        <v>55</v>
      </c>
      <c r="G9" s="31" t="s">
        <v>56</v>
      </c>
      <c r="H9" s="33" t="s">
        <v>50</v>
      </c>
      <c r="I9" s="33">
        <v>2</v>
      </c>
      <c r="J9" s="33" t="s">
        <v>24</v>
      </c>
      <c r="K9" s="30">
        <f>IFERROR(__xludf.DUMMYFUNCTION("I9-IF(LEN(TRIM(J9))=0,0,COUNTA(SPLIT(J9,"","")))"),2)</f>
        <v>2</v>
      </c>
    </row>
    <row r="10" customHeight="1" spans="1:11">
      <c r="A10" s="22" t="s">
        <v>57</v>
      </c>
      <c r="B10" s="23" t="s">
        <v>12</v>
      </c>
      <c r="C10" s="23" t="s">
        <v>52</v>
      </c>
      <c r="D10" s="24" t="s">
        <v>58</v>
      </c>
      <c r="E10" s="23" t="s">
        <v>15</v>
      </c>
      <c r="F10" s="23" t="s">
        <v>59</v>
      </c>
      <c r="G10" s="23" t="s">
        <v>60</v>
      </c>
      <c r="H10" s="25" t="s">
        <v>29</v>
      </c>
      <c r="I10" s="25">
        <v>2</v>
      </c>
      <c r="J10" s="25" t="s">
        <v>24</v>
      </c>
      <c r="K10" s="22">
        <f>IFERROR(__xludf.DUMMYFUNCTION("I10-IF(LEN(TRIM(J10))=0,0,COUNTA(SPLIT(J10,"","")))"),2)</f>
        <v>2</v>
      </c>
    </row>
    <row r="11" customHeight="1" spans="1:11">
      <c r="A11" s="22" t="s">
        <v>61</v>
      </c>
      <c r="B11" s="23" t="s">
        <v>12</v>
      </c>
      <c r="C11" s="23" t="s">
        <v>52</v>
      </c>
      <c r="D11" s="24" t="s">
        <v>62</v>
      </c>
      <c r="E11" s="23" t="s">
        <v>63</v>
      </c>
      <c r="F11" s="23" t="s">
        <v>64</v>
      </c>
      <c r="G11" s="23" t="s">
        <v>65</v>
      </c>
      <c r="H11" s="25" t="s">
        <v>50</v>
      </c>
      <c r="I11" s="25">
        <v>2</v>
      </c>
      <c r="J11" s="25" t="s">
        <v>24</v>
      </c>
      <c r="K11" s="22">
        <f>IFERROR(__xludf.DUMMYFUNCTION("I11-IF(LEN(TRIM(J11))=0,0,COUNTA(SPLIT(J11,"","")))"),2)</f>
        <v>2</v>
      </c>
    </row>
    <row r="12" customHeight="1" spans="1:11">
      <c r="A12" s="26" t="s">
        <v>66</v>
      </c>
      <c r="B12" s="27" t="s">
        <v>12</v>
      </c>
      <c r="C12" s="27" t="s">
        <v>52</v>
      </c>
      <c r="D12" s="28" t="s">
        <v>67</v>
      </c>
      <c r="E12" s="27" t="s">
        <v>68</v>
      </c>
      <c r="F12" s="27" t="s">
        <v>69</v>
      </c>
      <c r="G12" s="27" t="s">
        <v>70</v>
      </c>
      <c r="H12" s="29" t="s">
        <v>29</v>
      </c>
      <c r="I12" s="29">
        <v>2</v>
      </c>
      <c r="J12" s="29" t="s">
        <v>24</v>
      </c>
      <c r="K12" s="26">
        <f>IFERROR(__xludf.DUMMYFUNCTION("I12-IF(LEN(TRIM(J12))=0,0,COUNTA(SPLIT(J12,"","")))"),2)</f>
        <v>2</v>
      </c>
    </row>
    <row r="13" customHeight="1" spans="1:11">
      <c r="A13" s="34" t="s">
        <v>71</v>
      </c>
      <c r="B13" s="35" t="s">
        <v>72</v>
      </c>
      <c r="C13" s="35" t="s">
        <v>73</v>
      </c>
      <c r="D13" s="36" t="s">
        <v>74</v>
      </c>
      <c r="E13" s="35" t="s">
        <v>54</v>
      </c>
      <c r="F13" s="35" t="s">
        <v>75</v>
      </c>
      <c r="G13" s="35" t="s">
        <v>76</v>
      </c>
      <c r="H13" s="37" t="s">
        <v>50</v>
      </c>
      <c r="I13" s="37">
        <v>2</v>
      </c>
      <c r="J13" s="37" t="s">
        <v>24</v>
      </c>
      <c r="K13" s="34">
        <f>IFERROR(__xludf.DUMMYFUNCTION("I13-IF(LEN(TRIM(J13))=0,0,COUNTA(SPLIT(J13,"","")))"),2)</f>
        <v>2</v>
      </c>
    </row>
    <row r="14" customHeight="1" spans="1:11">
      <c r="A14" s="38" t="s">
        <v>77</v>
      </c>
      <c r="B14" s="39" t="s">
        <v>72</v>
      </c>
      <c r="C14" s="39" t="s">
        <v>73</v>
      </c>
      <c r="D14" s="40" t="s">
        <v>78</v>
      </c>
      <c r="E14" s="39" t="s">
        <v>63</v>
      </c>
      <c r="F14" s="39" t="s">
        <v>79</v>
      </c>
      <c r="G14" s="39" t="s">
        <v>80</v>
      </c>
      <c r="H14" s="41" t="s">
        <v>50</v>
      </c>
      <c r="I14" s="41">
        <v>2</v>
      </c>
      <c r="J14" s="41" t="s">
        <v>24</v>
      </c>
      <c r="K14" s="38">
        <f>IFERROR(__xludf.DUMMYFUNCTION("I14-IF(LEN(TRIM(J14))=0,0,COUNTA(SPLIT(J14,"","")))"),2)</f>
        <v>2</v>
      </c>
    </row>
    <row r="15" customHeight="1" spans="1:11">
      <c r="A15" s="38" t="s">
        <v>81</v>
      </c>
      <c r="B15" s="39" t="s">
        <v>72</v>
      </c>
      <c r="C15" s="39" t="s">
        <v>73</v>
      </c>
      <c r="D15" s="40" t="s">
        <v>82</v>
      </c>
      <c r="E15" s="39" t="s">
        <v>15</v>
      </c>
      <c r="F15" s="39" t="s">
        <v>83</v>
      </c>
      <c r="G15" s="39" t="s">
        <v>84</v>
      </c>
      <c r="H15" s="41" t="s">
        <v>29</v>
      </c>
      <c r="I15" s="41">
        <v>2</v>
      </c>
      <c r="J15" s="41" t="s">
        <v>24</v>
      </c>
      <c r="K15" s="38">
        <f>IFERROR(__xludf.DUMMYFUNCTION("I15-IF(LEN(TRIM(J15))=0,0,COUNTA(SPLIT(J15,"","")))"),2)</f>
        <v>2</v>
      </c>
    </row>
    <row r="16" customHeight="1" spans="1:11">
      <c r="A16" s="42" t="s">
        <v>85</v>
      </c>
      <c r="B16" s="43" t="s">
        <v>72</v>
      </c>
      <c r="C16" s="43" t="s">
        <v>73</v>
      </c>
      <c r="D16" s="44" t="s">
        <v>86</v>
      </c>
      <c r="E16" s="43" t="s">
        <v>54</v>
      </c>
      <c r="F16" s="43" t="s">
        <v>87</v>
      </c>
      <c r="G16" s="43" t="s">
        <v>88</v>
      </c>
      <c r="H16" s="45" t="s">
        <v>29</v>
      </c>
      <c r="I16" s="45">
        <v>2</v>
      </c>
      <c r="J16" s="45" t="s">
        <v>24</v>
      </c>
      <c r="K16" s="42">
        <f>IFERROR(__xludf.DUMMYFUNCTION("I16-IF(LEN(TRIM(J16))=0,0,COUNTA(SPLIT(J16,"","")))"),2)</f>
        <v>2</v>
      </c>
    </row>
    <row r="17" customHeight="1" spans="1:11">
      <c r="A17" s="34" t="s">
        <v>89</v>
      </c>
      <c r="B17" s="35" t="s">
        <v>72</v>
      </c>
      <c r="C17" s="35" t="s">
        <v>90</v>
      </c>
      <c r="D17" s="36" t="s">
        <v>91</v>
      </c>
      <c r="E17" s="35" t="s">
        <v>92</v>
      </c>
      <c r="F17" s="35" t="s">
        <v>93</v>
      </c>
      <c r="G17" s="35" t="s">
        <v>94</v>
      </c>
      <c r="H17" s="37" t="s">
        <v>50</v>
      </c>
      <c r="I17" s="37">
        <v>2</v>
      </c>
      <c r="J17" s="37" t="s">
        <v>24</v>
      </c>
      <c r="K17" s="34">
        <f>IFERROR(__xludf.DUMMYFUNCTION("I17-IF(LEN(TRIM(J17))=0,0,COUNTA(SPLIT(J17,"","")))"),2)</f>
        <v>2</v>
      </c>
    </row>
    <row r="18" customHeight="1" spans="1:11">
      <c r="A18" s="38" t="s">
        <v>95</v>
      </c>
      <c r="B18" s="39" t="s">
        <v>72</v>
      </c>
      <c r="C18" s="39" t="s">
        <v>90</v>
      </c>
      <c r="D18" s="40" t="s">
        <v>96</v>
      </c>
      <c r="E18" s="39" t="s">
        <v>97</v>
      </c>
      <c r="F18" s="39" t="s">
        <v>98</v>
      </c>
      <c r="G18" s="39" t="s">
        <v>99</v>
      </c>
      <c r="H18" s="41" t="s">
        <v>50</v>
      </c>
      <c r="I18" s="41">
        <v>2</v>
      </c>
      <c r="J18" s="41" t="s">
        <v>24</v>
      </c>
      <c r="K18" s="38">
        <f>IFERROR(__xludf.DUMMYFUNCTION("I18-IF(LEN(TRIM(J18))=0,0,COUNTA(SPLIT(J18,"","")))"),2)</f>
        <v>2</v>
      </c>
    </row>
    <row r="19" customHeight="1" spans="1:11">
      <c r="A19" s="42" t="s">
        <v>100</v>
      </c>
      <c r="B19" s="43" t="s">
        <v>72</v>
      </c>
      <c r="C19" s="43" t="s">
        <v>90</v>
      </c>
      <c r="D19" s="44" t="s">
        <v>101</v>
      </c>
      <c r="E19" s="43" t="s">
        <v>102</v>
      </c>
      <c r="F19" s="43" t="s">
        <v>103</v>
      </c>
      <c r="G19" s="43" t="s">
        <v>104</v>
      </c>
      <c r="H19" s="45" t="s">
        <v>29</v>
      </c>
      <c r="I19" s="45">
        <v>2</v>
      </c>
      <c r="J19" s="45" t="s">
        <v>24</v>
      </c>
      <c r="K19" s="42">
        <f>IFERROR(__xludf.DUMMYFUNCTION("I19-IF(LEN(TRIM(J19))=0,0,COUNTA(SPLIT(J19,"","")))"),2)</f>
        <v>2</v>
      </c>
    </row>
    <row r="20" customHeight="1" spans="1:11">
      <c r="A20" s="34" t="s">
        <v>105</v>
      </c>
      <c r="B20" s="35" t="s">
        <v>72</v>
      </c>
      <c r="C20" s="35" t="s">
        <v>106</v>
      </c>
      <c r="D20" s="36" t="s">
        <v>107</v>
      </c>
      <c r="E20" s="35" t="s">
        <v>54</v>
      </c>
      <c r="F20" s="35" t="s">
        <v>108</v>
      </c>
      <c r="G20" s="35" t="s">
        <v>109</v>
      </c>
      <c r="H20" s="37" t="s">
        <v>29</v>
      </c>
      <c r="I20" s="37">
        <v>2</v>
      </c>
      <c r="J20" s="37" t="s">
        <v>24</v>
      </c>
      <c r="K20" s="34">
        <f>IFERROR(__xludf.DUMMYFUNCTION("I20-IF(LEN(TRIM(J20))=0,0,COUNTA(SPLIT(J20,"","")))"),2)</f>
        <v>2</v>
      </c>
    </row>
    <row r="21" customHeight="1" spans="1:11">
      <c r="A21" s="38" t="s">
        <v>110</v>
      </c>
      <c r="B21" s="39" t="s">
        <v>72</v>
      </c>
      <c r="C21" s="39" t="s">
        <v>106</v>
      </c>
      <c r="D21" s="40" t="s">
        <v>111</v>
      </c>
      <c r="E21" s="39" t="s">
        <v>112</v>
      </c>
      <c r="F21" s="39" t="s">
        <v>113</v>
      </c>
      <c r="G21" s="39" t="s">
        <v>114</v>
      </c>
      <c r="H21" s="41" t="s">
        <v>29</v>
      </c>
      <c r="I21" s="41">
        <v>2</v>
      </c>
      <c r="J21" s="41" t="s">
        <v>24</v>
      </c>
      <c r="K21" s="38">
        <f>IFERROR(__xludf.DUMMYFUNCTION("I21-IF(LEN(TRIM(J21))=0,0,COUNTA(SPLIT(J21,"","")))"),2)</f>
        <v>2</v>
      </c>
    </row>
    <row r="22" customHeight="1" spans="1:11">
      <c r="A22" s="42" t="s">
        <v>115</v>
      </c>
      <c r="B22" s="43" t="s">
        <v>72</v>
      </c>
      <c r="C22" s="43" t="s">
        <v>106</v>
      </c>
      <c r="D22" s="44" t="s">
        <v>116</v>
      </c>
      <c r="E22" s="43" t="s">
        <v>117</v>
      </c>
      <c r="F22" s="43" t="s">
        <v>118</v>
      </c>
      <c r="G22" s="43" t="s">
        <v>119</v>
      </c>
      <c r="H22" s="45" t="s">
        <v>29</v>
      </c>
      <c r="I22" s="45">
        <v>2</v>
      </c>
      <c r="J22" s="45" t="s">
        <v>24</v>
      </c>
      <c r="K22" s="42">
        <f>IFERROR(__xludf.DUMMYFUNCTION("I22-IF(LEN(TRIM(J22))=0,0,COUNTA(SPLIT(J22,"","")))"),2)</f>
        <v>2</v>
      </c>
    </row>
    <row r="23" customHeight="1" spans="1:11">
      <c r="A23" s="46" t="s">
        <v>120</v>
      </c>
      <c r="B23" s="47" t="s">
        <v>121</v>
      </c>
      <c r="C23" s="47" t="s">
        <v>122</v>
      </c>
      <c r="D23" s="48" t="s">
        <v>123</v>
      </c>
      <c r="E23" s="47" t="s">
        <v>54</v>
      </c>
      <c r="F23" s="47" t="s">
        <v>124</v>
      </c>
      <c r="G23" s="47" t="s">
        <v>125</v>
      </c>
      <c r="H23" s="49" t="s">
        <v>29</v>
      </c>
      <c r="I23" s="49">
        <v>2</v>
      </c>
      <c r="J23" s="49" t="s">
        <v>24</v>
      </c>
      <c r="K23" s="46">
        <f>IFERROR(__xludf.DUMMYFUNCTION("I23-IF(LEN(TRIM(J23))=0,0,COUNTA(SPLIT(J23,"","")))"),2)</f>
        <v>2</v>
      </c>
    </row>
    <row r="24" customHeight="1" spans="1:11">
      <c r="A24" s="50" t="s">
        <v>126</v>
      </c>
      <c r="B24" s="51" t="s">
        <v>121</v>
      </c>
      <c r="C24" s="51" t="s">
        <v>122</v>
      </c>
      <c r="D24" s="52" t="s">
        <v>127</v>
      </c>
      <c r="E24" s="51" t="s">
        <v>54</v>
      </c>
      <c r="F24" s="51" t="s">
        <v>128</v>
      </c>
      <c r="G24" s="51" t="s">
        <v>129</v>
      </c>
      <c r="H24" s="53" t="s">
        <v>29</v>
      </c>
      <c r="I24" s="53">
        <v>2</v>
      </c>
      <c r="J24" s="53" t="s">
        <v>24</v>
      </c>
      <c r="K24" s="50">
        <f>IFERROR(__xludf.DUMMYFUNCTION("I24-IF(LEN(TRIM(J24))=0,0,COUNTA(SPLIT(J24,"","")))"),2)</f>
        <v>2</v>
      </c>
    </row>
    <row r="25" customHeight="1" spans="1:11">
      <c r="A25" s="50" t="s">
        <v>130</v>
      </c>
      <c r="B25" s="51" t="s">
        <v>121</v>
      </c>
      <c r="C25" s="51" t="s">
        <v>122</v>
      </c>
      <c r="D25" s="52" t="s">
        <v>131</v>
      </c>
      <c r="E25" s="51" t="s">
        <v>15</v>
      </c>
      <c r="F25" s="51" t="s">
        <v>132</v>
      </c>
      <c r="G25" s="51" t="s">
        <v>133</v>
      </c>
      <c r="H25" s="53" t="s">
        <v>29</v>
      </c>
      <c r="I25" s="53">
        <v>2</v>
      </c>
      <c r="J25" s="53" t="s">
        <v>24</v>
      </c>
      <c r="K25" s="50">
        <f>IFERROR(__xludf.DUMMYFUNCTION("I25-IF(LEN(TRIM(J25))=0,0,COUNTA(SPLIT(J25,"","")))"),2)</f>
        <v>2</v>
      </c>
    </row>
    <row r="26" customHeight="1" spans="1:11">
      <c r="A26" s="54" t="s">
        <v>134</v>
      </c>
      <c r="B26" s="55" t="s">
        <v>121</v>
      </c>
      <c r="C26" s="55" t="s">
        <v>122</v>
      </c>
      <c r="D26" s="56" t="s">
        <v>135</v>
      </c>
      <c r="E26" s="55" t="s">
        <v>136</v>
      </c>
      <c r="F26" s="55" t="s">
        <v>137</v>
      </c>
      <c r="G26" s="55" t="s">
        <v>138</v>
      </c>
      <c r="H26" s="57" t="s">
        <v>50</v>
      </c>
      <c r="I26" s="57">
        <v>2</v>
      </c>
      <c r="J26" s="57" t="s">
        <v>24</v>
      </c>
      <c r="K26" s="54">
        <f>IFERROR(__xludf.DUMMYFUNCTION("I26-IF(LEN(TRIM(J26))=0,0,COUNTA(SPLIT(J26,"","")))"),2)</f>
        <v>2</v>
      </c>
    </row>
    <row r="27" customHeight="1" spans="1:11">
      <c r="A27" s="46" t="s">
        <v>139</v>
      </c>
      <c r="B27" s="47" t="s">
        <v>121</v>
      </c>
      <c r="C27" s="47" t="s">
        <v>140</v>
      </c>
      <c r="D27" s="48" t="s">
        <v>141</v>
      </c>
      <c r="E27" s="47" t="s">
        <v>54</v>
      </c>
      <c r="F27" s="47" t="s">
        <v>142</v>
      </c>
      <c r="G27" s="47" t="s">
        <v>143</v>
      </c>
      <c r="H27" s="49" t="s">
        <v>18</v>
      </c>
      <c r="I27" s="49">
        <v>2</v>
      </c>
      <c r="J27" s="49" t="s">
        <v>24</v>
      </c>
      <c r="K27" s="46">
        <f>IFERROR(__xludf.DUMMYFUNCTION("I27-IF(LEN(TRIM(J27))=0,0,COUNTA(SPLIT(J27,"","")))"),2)</f>
        <v>2</v>
      </c>
    </row>
    <row r="28" customHeight="1" spans="1:11">
      <c r="A28" s="50" t="s">
        <v>144</v>
      </c>
      <c r="B28" s="51" t="s">
        <v>121</v>
      </c>
      <c r="C28" s="51" t="s">
        <v>140</v>
      </c>
      <c r="D28" s="52" t="s">
        <v>145</v>
      </c>
      <c r="E28" s="51" t="s">
        <v>54</v>
      </c>
      <c r="F28" s="51" t="s">
        <v>146</v>
      </c>
      <c r="G28" s="51" t="s">
        <v>147</v>
      </c>
      <c r="H28" s="53" t="s">
        <v>50</v>
      </c>
      <c r="I28" s="53">
        <v>2</v>
      </c>
      <c r="J28" s="53" t="s">
        <v>24</v>
      </c>
      <c r="K28" s="50">
        <f>IFERROR(__xludf.DUMMYFUNCTION("I28-IF(LEN(TRIM(J28))=0,0,COUNTA(SPLIT(J28,"","")))"),2)</f>
        <v>2</v>
      </c>
    </row>
    <row r="29" customHeight="1" spans="1:11">
      <c r="A29" s="50" t="s">
        <v>148</v>
      </c>
      <c r="B29" s="51" t="s">
        <v>121</v>
      </c>
      <c r="C29" s="51" t="s">
        <v>140</v>
      </c>
      <c r="D29" s="52" t="s">
        <v>149</v>
      </c>
      <c r="E29" s="51" t="s">
        <v>15</v>
      </c>
      <c r="F29" s="51" t="s">
        <v>150</v>
      </c>
      <c r="G29" s="51" t="s">
        <v>151</v>
      </c>
      <c r="H29" s="53" t="s">
        <v>18</v>
      </c>
      <c r="I29" s="53">
        <v>2</v>
      </c>
      <c r="J29" s="53" t="s">
        <v>24</v>
      </c>
      <c r="K29" s="50">
        <f>IFERROR(__xludf.DUMMYFUNCTION("I29-IF(LEN(TRIM(J29))=0,0,COUNTA(SPLIT(J29,"","")))"),2)</f>
        <v>2</v>
      </c>
    </row>
    <row r="30" customHeight="1" spans="1:11">
      <c r="A30" s="54" t="s">
        <v>152</v>
      </c>
      <c r="B30" s="55" t="s">
        <v>121</v>
      </c>
      <c r="C30" s="55" t="s">
        <v>140</v>
      </c>
      <c r="D30" s="56" t="s">
        <v>153</v>
      </c>
      <c r="E30" s="55" t="s">
        <v>154</v>
      </c>
      <c r="F30" s="55" t="s">
        <v>155</v>
      </c>
      <c r="G30" s="55" t="s">
        <v>156</v>
      </c>
      <c r="H30" s="57" t="s">
        <v>29</v>
      </c>
      <c r="I30" s="57">
        <v>2</v>
      </c>
      <c r="J30" s="57" t="s">
        <v>24</v>
      </c>
      <c r="K30" s="54">
        <f>IFERROR(__xludf.DUMMYFUNCTION("I30-IF(LEN(TRIM(J30))=0,0,COUNTA(SPLIT(J30,"","")))"),2)</f>
        <v>2</v>
      </c>
    </row>
    <row r="31" customHeight="1" spans="1:11">
      <c r="A31" s="46" t="s">
        <v>157</v>
      </c>
      <c r="B31" s="47" t="s">
        <v>121</v>
      </c>
      <c r="C31" s="47" t="s">
        <v>158</v>
      </c>
      <c r="D31" s="48" t="s">
        <v>159</v>
      </c>
      <c r="E31" s="47" t="s">
        <v>160</v>
      </c>
      <c r="F31" s="47" t="s">
        <v>161</v>
      </c>
      <c r="G31" s="47" t="s">
        <v>162</v>
      </c>
      <c r="H31" s="49" t="s">
        <v>18</v>
      </c>
      <c r="I31" s="49">
        <v>2</v>
      </c>
      <c r="J31" s="49" t="s">
        <v>24</v>
      </c>
      <c r="K31" s="46">
        <f>IFERROR(__xludf.DUMMYFUNCTION("I31-IF(LEN(TRIM(J31))=0,0,COUNTA(SPLIT(J31,"","")))"),2)</f>
        <v>2</v>
      </c>
    </row>
    <row r="32" customHeight="1" spans="1:11">
      <c r="A32" s="54" t="s">
        <v>163</v>
      </c>
      <c r="B32" s="55" t="s">
        <v>121</v>
      </c>
      <c r="C32" s="55" t="s">
        <v>158</v>
      </c>
      <c r="D32" s="56" t="s">
        <v>164</v>
      </c>
      <c r="E32" s="55" t="s">
        <v>165</v>
      </c>
      <c r="F32" s="55" t="s">
        <v>166</v>
      </c>
      <c r="G32" s="55" t="s">
        <v>167</v>
      </c>
      <c r="H32" s="57" t="s">
        <v>18</v>
      </c>
      <c r="I32" s="57">
        <v>2</v>
      </c>
      <c r="J32" s="57" t="s">
        <v>24</v>
      </c>
      <c r="K32" s="54">
        <f>IFERROR(__xludf.DUMMYFUNCTION("I32-IF(LEN(TRIM(J32))=0,0,COUNTA(SPLIT(J32,"","")))"),2)</f>
        <v>2</v>
      </c>
    </row>
    <row r="33" customHeight="1" spans="1:11">
      <c r="A33" s="46" t="s">
        <v>168</v>
      </c>
      <c r="B33" s="47" t="s">
        <v>121</v>
      </c>
      <c r="C33" s="47" t="s">
        <v>169</v>
      </c>
      <c r="D33" s="48" t="s">
        <v>170</v>
      </c>
      <c r="E33" s="47" t="s">
        <v>171</v>
      </c>
      <c r="F33" s="47" t="s">
        <v>172</v>
      </c>
      <c r="G33" s="47" t="s">
        <v>173</v>
      </c>
      <c r="H33" s="49" t="s">
        <v>18</v>
      </c>
      <c r="I33" s="49">
        <v>2</v>
      </c>
      <c r="J33" s="49" t="s">
        <v>24</v>
      </c>
      <c r="K33" s="46">
        <f>IFERROR(__xludf.DUMMYFUNCTION("I33-IF(LEN(TRIM(J33))=0,0,COUNTA(SPLIT(J33,"","")))"),2)</f>
        <v>2</v>
      </c>
    </row>
    <row r="34" customHeight="1" spans="1:11">
      <c r="A34" s="54" t="s">
        <v>174</v>
      </c>
      <c r="B34" s="55" t="s">
        <v>121</v>
      </c>
      <c r="C34" s="55" t="s">
        <v>169</v>
      </c>
      <c r="D34" s="56" t="s">
        <v>175</v>
      </c>
      <c r="E34" s="55" t="s">
        <v>171</v>
      </c>
      <c r="F34" s="55" t="s">
        <v>176</v>
      </c>
      <c r="G34" s="55" t="s">
        <v>177</v>
      </c>
      <c r="H34" s="57" t="s">
        <v>18</v>
      </c>
      <c r="I34" s="57">
        <v>2</v>
      </c>
      <c r="J34" s="57" t="s">
        <v>24</v>
      </c>
      <c r="K34" s="54">
        <f>IFERROR(__xludf.DUMMYFUNCTION("I34-IF(LEN(TRIM(J34))=0,0,COUNTA(SPLIT(J34,"","")))"),2)</f>
        <v>2</v>
      </c>
    </row>
    <row r="35" customHeight="1" spans="1:11">
      <c r="A35" s="14" t="s">
        <v>178</v>
      </c>
      <c r="B35" s="15" t="s">
        <v>179</v>
      </c>
      <c r="C35" s="15" t="s">
        <v>180</v>
      </c>
      <c r="D35" s="16" t="s">
        <v>181</v>
      </c>
      <c r="E35" s="15" t="s">
        <v>54</v>
      </c>
      <c r="F35" s="15" t="s">
        <v>182</v>
      </c>
      <c r="G35" s="15" t="s">
        <v>183</v>
      </c>
      <c r="H35" s="17" t="s">
        <v>50</v>
      </c>
      <c r="I35" s="17">
        <v>2</v>
      </c>
      <c r="J35" s="17" t="s">
        <v>24</v>
      </c>
      <c r="K35" s="14">
        <f>IFERROR(__xludf.DUMMYFUNCTION("I35-IF(LEN(TRIM(J35))=0,0,COUNTA(SPLIT(J35,"","")))"),2)</f>
        <v>2</v>
      </c>
    </row>
    <row r="36" customHeight="1" spans="1:11">
      <c r="A36" s="6" t="s">
        <v>184</v>
      </c>
      <c r="B36" s="7" t="s">
        <v>179</v>
      </c>
      <c r="C36" s="7" t="s">
        <v>180</v>
      </c>
      <c r="D36" s="8" t="s">
        <v>185</v>
      </c>
      <c r="E36" s="7" t="s">
        <v>186</v>
      </c>
      <c r="F36" s="7" t="s">
        <v>187</v>
      </c>
      <c r="G36" s="7" t="s">
        <v>188</v>
      </c>
      <c r="H36" s="9" t="s">
        <v>50</v>
      </c>
      <c r="I36" s="9">
        <v>2</v>
      </c>
      <c r="J36" s="9"/>
      <c r="K36" s="6">
        <f>IFERROR(__xludf.DUMMYFUNCTION("I36-IF(LEN(TRIM(J36))=0,0,COUNTA(SPLIT(J36,"","")))"),2)</f>
        <v>2</v>
      </c>
    </row>
    <row r="37" customHeight="1" spans="1:11">
      <c r="A37" s="6" t="s">
        <v>189</v>
      </c>
      <c r="B37" s="7" t="s">
        <v>179</v>
      </c>
      <c r="C37" s="7" t="s">
        <v>180</v>
      </c>
      <c r="D37" s="8" t="s">
        <v>190</v>
      </c>
      <c r="E37" s="7" t="s">
        <v>191</v>
      </c>
      <c r="F37" s="7" t="s">
        <v>192</v>
      </c>
      <c r="G37" s="7" t="s">
        <v>193</v>
      </c>
      <c r="H37" s="9" t="s">
        <v>29</v>
      </c>
      <c r="I37" s="9">
        <v>2</v>
      </c>
      <c r="J37" s="9"/>
      <c r="K37" s="6">
        <f>IFERROR(__xludf.DUMMYFUNCTION("I37-IF(LEN(TRIM(J37))=0,0,COUNTA(SPLIT(J37,"","")))"),2)</f>
        <v>2</v>
      </c>
    </row>
    <row r="38" customHeight="1" spans="1:11">
      <c r="A38" s="6" t="s">
        <v>194</v>
      </c>
      <c r="B38" s="7" t="s">
        <v>179</v>
      </c>
      <c r="C38" s="7" t="s">
        <v>180</v>
      </c>
      <c r="D38" s="8" t="s">
        <v>195</v>
      </c>
      <c r="E38" s="7" t="s">
        <v>54</v>
      </c>
      <c r="F38" s="7" t="s">
        <v>196</v>
      </c>
      <c r="G38" s="7" t="s">
        <v>197</v>
      </c>
      <c r="H38" s="9" t="s">
        <v>29</v>
      </c>
      <c r="I38" s="9">
        <v>2</v>
      </c>
      <c r="J38" s="9" t="s">
        <v>24</v>
      </c>
      <c r="K38" s="6">
        <f>IFERROR(__xludf.DUMMYFUNCTION("I38-IF(LEN(TRIM(J38))=0,0,COUNTA(SPLIT(J38,"","")))"),2)</f>
        <v>2</v>
      </c>
    </row>
    <row r="39" customHeight="1" spans="1:11">
      <c r="A39" s="10" t="s">
        <v>198</v>
      </c>
      <c r="B39" s="11" t="s">
        <v>179</v>
      </c>
      <c r="C39" s="11" t="s">
        <v>180</v>
      </c>
      <c r="D39" s="12" t="s">
        <v>199</v>
      </c>
      <c r="E39" s="11" t="s">
        <v>54</v>
      </c>
      <c r="F39" s="11" t="s">
        <v>200</v>
      </c>
      <c r="G39" s="11" t="s">
        <v>201</v>
      </c>
      <c r="H39" s="13" t="s">
        <v>50</v>
      </c>
      <c r="I39" s="13">
        <v>2</v>
      </c>
      <c r="J39" s="13" t="s">
        <v>24</v>
      </c>
      <c r="K39" s="10">
        <f>IFERROR(__xludf.DUMMYFUNCTION("I39-IF(LEN(TRIM(J39))=0,0,COUNTA(SPLIT(J39,"","")))"),2)</f>
        <v>2</v>
      </c>
    </row>
    <row r="40" customHeight="1" spans="1:11">
      <c r="A40" s="14" t="s">
        <v>202</v>
      </c>
      <c r="B40" s="15" t="s">
        <v>179</v>
      </c>
      <c r="C40" s="15" t="s">
        <v>203</v>
      </c>
      <c r="D40" s="16" t="s">
        <v>204</v>
      </c>
      <c r="E40" s="15" t="s">
        <v>205</v>
      </c>
      <c r="F40" s="15" t="s">
        <v>206</v>
      </c>
      <c r="G40" s="15" t="s">
        <v>207</v>
      </c>
      <c r="H40" s="17" t="s">
        <v>29</v>
      </c>
      <c r="I40" s="17">
        <v>2</v>
      </c>
      <c r="J40" s="17" t="s">
        <v>24</v>
      </c>
      <c r="K40" s="14">
        <f>IFERROR(__xludf.DUMMYFUNCTION("I40-IF(LEN(TRIM(J40))=0,0,COUNTA(SPLIT(J40,"","")))"),2)</f>
        <v>2</v>
      </c>
    </row>
    <row r="41" customHeight="1" spans="1:11">
      <c r="A41" s="6" t="s">
        <v>208</v>
      </c>
      <c r="B41" s="7" t="s">
        <v>179</v>
      </c>
      <c r="C41" s="7" t="s">
        <v>203</v>
      </c>
      <c r="D41" s="8" t="s">
        <v>209</v>
      </c>
      <c r="E41" s="7" t="s">
        <v>54</v>
      </c>
      <c r="F41" s="7" t="s">
        <v>210</v>
      </c>
      <c r="G41" s="7" t="s">
        <v>211</v>
      </c>
      <c r="H41" s="9" t="s">
        <v>18</v>
      </c>
      <c r="I41" s="9">
        <v>2</v>
      </c>
      <c r="J41" s="9" t="s">
        <v>24</v>
      </c>
      <c r="K41" s="6">
        <f>IFERROR(__xludf.DUMMYFUNCTION("I41-IF(LEN(TRIM(J41))=0,0,COUNTA(SPLIT(J41,"","")))"),2)</f>
        <v>2</v>
      </c>
    </row>
    <row r="42" customHeight="1" spans="1:11">
      <c r="A42" s="6" t="s">
        <v>212</v>
      </c>
      <c r="B42" s="7" t="s">
        <v>179</v>
      </c>
      <c r="C42" s="7" t="s">
        <v>203</v>
      </c>
      <c r="D42" s="8" t="s">
        <v>213</v>
      </c>
      <c r="E42" s="7" t="s">
        <v>214</v>
      </c>
      <c r="F42" s="7" t="s">
        <v>215</v>
      </c>
      <c r="G42" s="7" t="s">
        <v>216</v>
      </c>
      <c r="H42" s="9" t="s">
        <v>50</v>
      </c>
      <c r="I42" s="9">
        <v>2</v>
      </c>
      <c r="J42" s="9" t="s">
        <v>24</v>
      </c>
      <c r="K42" s="6">
        <f>IFERROR(__xludf.DUMMYFUNCTION("I42-IF(LEN(TRIM(J42))=0,0,COUNTA(SPLIT(J42,"","")))"),2)</f>
        <v>2</v>
      </c>
    </row>
    <row r="43" customHeight="1" spans="1:11">
      <c r="A43" s="6" t="s">
        <v>217</v>
      </c>
      <c r="B43" s="7" t="s">
        <v>179</v>
      </c>
      <c r="C43" s="7" t="s">
        <v>203</v>
      </c>
      <c r="D43" s="8" t="s">
        <v>218</v>
      </c>
      <c r="E43" s="7" t="s">
        <v>219</v>
      </c>
      <c r="F43" s="7" t="s">
        <v>220</v>
      </c>
      <c r="G43" s="7" t="s">
        <v>221</v>
      </c>
      <c r="H43" s="9" t="s">
        <v>29</v>
      </c>
      <c r="I43" s="9">
        <v>2</v>
      </c>
      <c r="J43" s="9" t="s">
        <v>24</v>
      </c>
      <c r="K43" s="6">
        <f>IFERROR(__xludf.DUMMYFUNCTION("I43-IF(LEN(TRIM(J43))=0,0,COUNTA(SPLIT(J43,"","")))"),2)</f>
        <v>2</v>
      </c>
    </row>
    <row r="44" customHeight="1" spans="1:11">
      <c r="A44" s="10" t="s">
        <v>222</v>
      </c>
      <c r="B44" s="11" t="s">
        <v>179</v>
      </c>
      <c r="C44" s="11" t="s">
        <v>203</v>
      </c>
      <c r="D44" s="12" t="s">
        <v>223</v>
      </c>
      <c r="E44" s="11" t="s">
        <v>54</v>
      </c>
      <c r="F44" s="11" t="s">
        <v>224</v>
      </c>
      <c r="G44" s="11" t="s">
        <v>225</v>
      </c>
      <c r="H44" s="13" t="s">
        <v>29</v>
      </c>
      <c r="I44" s="13">
        <v>2</v>
      </c>
      <c r="J44" s="13" t="s">
        <v>24</v>
      </c>
      <c r="K44" s="10">
        <f>IFERROR(__xludf.DUMMYFUNCTION("I44-IF(LEN(TRIM(J44))=0,0,COUNTA(SPLIT(J44,"","")))"),2)</f>
        <v>2</v>
      </c>
    </row>
    <row r="45" customHeight="1" spans="1:11">
      <c r="A45" s="14" t="s">
        <v>226</v>
      </c>
      <c r="B45" s="15" t="s">
        <v>179</v>
      </c>
      <c r="C45" s="15" t="s">
        <v>227</v>
      </c>
      <c r="D45" s="16" t="s">
        <v>228</v>
      </c>
      <c r="E45" s="15" t="s">
        <v>54</v>
      </c>
      <c r="F45" s="15" t="s">
        <v>229</v>
      </c>
      <c r="G45" s="15" t="s">
        <v>230</v>
      </c>
      <c r="H45" s="17" t="s">
        <v>29</v>
      </c>
      <c r="I45" s="17">
        <v>2</v>
      </c>
      <c r="J45" s="17" t="s">
        <v>24</v>
      </c>
      <c r="K45" s="14">
        <f>IFERROR(__xludf.DUMMYFUNCTION("I45-IF(LEN(TRIM(J45))=0,0,COUNTA(SPLIT(J45,"","")))"),2)</f>
        <v>2</v>
      </c>
    </row>
    <row r="46" customHeight="1" spans="1:11">
      <c r="A46" s="6" t="s">
        <v>231</v>
      </c>
      <c r="B46" s="7" t="s">
        <v>179</v>
      </c>
      <c r="C46" s="7" t="s">
        <v>227</v>
      </c>
      <c r="D46" s="8" t="s">
        <v>232</v>
      </c>
      <c r="E46" s="7" t="s">
        <v>54</v>
      </c>
      <c r="F46" s="7" t="s">
        <v>233</v>
      </c>
      <c r="G46" s="7" t="s">
        <v>234</v>
      </c>
      <c r="H46" s="9" t="s">
        <v>50</v>
      </c>
      <c r="I46" s="9">
        <v>2</v>
      </c>
      <c r="J46" s="9" t="s">
        <v>24</v>
      </c>
      <c r="K46" s="6">
        <f>IFERROR(__xludf.DUMMYFUNCTION("I46-IF(LEN(TRIM(J46))=0,0,COUNTA(SPLIT(J46,"","")))"),2)</f>
        <v>2</v>
      </c>
    </row>
    <row r="47" customHeight="1" spans="1:11">
      <c r="A47" s="6" t="s">
        <v>235</v>
      </c>
      <c r="B47" s="7" t="s">
        <v>179</v>
      </c>
      <c r="C47" s="7" t="s">
        <v>227</v>
      </c>
      <c r="D47" s="8" t="s">
        <v>236</v>
      </c>
      <c r="E47" s="7" t="s">
        <v>237</v>
      </c>
      <c r="F47" s="7" t="s">
        <v>238</v>
      </c>
      <c r="G47" s="7" t="s">
        <v>239</v>
      </c>
      <c r="H47" s="9" t="s">
        <v>29</v>
      </c>
      <c r="I47" s="9">
        <v>2</v>
      </c>
      <c r="J47" s="9" t="s">
        <v>24</v>
      </c>
      <c r="K47" s="6">
        <f>IFERROR(__xludf.DUMMYFUNCTION("I47-IF(LEN(TRIM(J47))=0,0,COUNTA(SPLIT(J47,"","")))"),2)</f>
        <v>2</v>
      </c>
    </row>
    <row r="48" customHeight="1" spans="1:11">
      <c r="A48" s="10" t="s">
        <v>240</v>
      </c>
      <c r="B48" s="11" t="s">
        <v>179</v>
      </c>
      <c r="C48" s="11" t="s">
        <v>227</v>
      </c>
      <c r="D48" s="12" t="s">
        <v>241</v>
      </c>
      <c r="E48" s="11" t="s">
        <v>242</v>
      </c>
      <c r="F48" s="11" t="s">
        <v>243</v>
      </c>
      <c r="G48" s="11" t="s">
        <v>244</v>
      </c>
      <c r="H48" s="13" t="s">
        <v>50</v>
      </c>
      <c r="I48" s="13">
        <v>2</v>
      </c>
      <c r="J48" s="13" t="s">
        <v>24</v>
      </c>
      <c r="K48" s="10">
        <f>IFERROR(__xludf.DUMMYFUNCTION("I48-IF(LEN(TRIM(J48))=0,0,COUNTA(SPLIT(J48,"","")))"),2)</f>
        <v>2</v>
      </c>
    </row>
    <row r="49" customHeight="1" spans="1:11">
      <c r="A49" s="14" t="s">
        <v>245</v>
      </c>
      <c r="B49" s="15" t="s">
        <v>179</v>
      </c>
      <c r="C49" s="15" t="s">
        <v>246</v>
      </c>
      <c r="D49" s="16" t="s">
        <v>247</v>
      </c>
      <c r="E49" s="15" t="s">
        <v>54</v>
      </c>
      <c r="F49" s="15" t="s">
        <v>248</v>
      </c>
      <c r="G49" s="15" t="s">
        <v>249</v>
      </c>
      <c r="H49" s="17" t="s">
        <v>29</v>
      </c>
      <c r="I49" s="17">
        <v>2</v>
      </c>
      <c r="J49" s="17" t="s">
        <v>24</v>
      </c>
      <c r="K49" s="14">
        <f>IFERROR(__xludf.DUMMYFUNCTION("I49-IF(LEN(TRIM(J49))=0,0,COUNTA(SPLIT(J49,"","")))"),2)</f>
        <v>2</v>
      </c>
    </row>
    <row r="50" customHeight="1" spans="1:11">
      <c r="A50" s="6" t="s">
        <v>250</v>
      </c>
      <c r="B50" s="7" t="s">
        <v>179</v>
      </c>
      <c r="C50" s="7" t="s">
        <v>246</v>
      </c>
      <c r="D50" s="8" t="s">
        <v>251</v>
      </c>
      <c r="E50" s="7" t="s">
        <v>54</v>
      </c>
      <c r="F50" s="7" t="s">
        <v>252</v>
      </c>
      <c r="G50" s="7" t="s">
        <v>253</v>
      </c>
      <c r="H50" s="9" t="s">
        <v>18</v>
      </c>
      <c r="I50" s="9">
        <v>2</v>
      </c>
      <c r="J50" s="9" t="s">
        <v>24</v>
      </c>
      <c r="K50" s="6">
        <f>IFERROR(__xludf.DUMMYFUNCTION("I50-IF(LEN(TRIM(J50))=0,0,COUNTA(SPLIT(J50,"","")))"),2)</f>
        <v>2</v>
      </c>
    </row>
    <row r="51" customHeight="1" spans="1:11">
      <c r="A51" s="6" t="s">
        <v>254</v>
      </c>
      <c r="B51" s="7" t="s">
        <v>179</v>
      </c>
      <c r="C51" s="7" t="s">
        <v>246</v>
      </c>
      <c r="D51" s="8" t="s">
        <v>255</v>
      </c>
      <c r="E51" s="7" t="s">
        <v>256</v>
      </c>
      <c r="F51" s="7" t="s">
        <v>257</v>
      </c>
      <c r="G51" s="7" t="s">
        <v>258</v>
      </c>
      <c r="H51" s="9" t="s">
        <v>18</v>
      </c>
      <c r="I51" s="9">
        <v>2</v>
      </c>
      <c r="J51" s="9" t="s">
        <v>24</v>
      </c>
      <c r="K51" s="6">
        <f>IFERROR(__xludf.DUMMYFUNCTION("I51-IF(LEN(TRIM(J51))=0,0,COUNTA(SPLIT(J51,"","")))"),2)</f>
        <v>2</v>
      </c>
    </row>
    <row r="52" customHeight="1" spans="1:11">
      <c r="A52" s="6" t="s">
        <v>259</v>
      </c>
      <c r="B52" s="7" t="s">
        <v>179</v>
      </c>
      <c r="C52" s="7" t="s">
        <v>246</v>
      </c>
      <c r="D52" s="8" t="s">
        <v>260</v>
      </c>
      <c r="E52" s="7" t="s">
        <v>261</v>
      </c>
      <c r="F52" s="7" t="s">
        <v>262</v>
      </c>
      <c r="G52" s="7" t="s">
        <v>263</v>
      </c>
      <c r="H52" s="9" t="s">
        <v>18</v>
      </c>
      <c r="I52" s="9">
        <v>2</v>
      </c>
      <c r="J52" s="9" t="s">
        <v>24</v>
      </c>
      <c r="K52" s="6">
        <f>IFERROR(__xludf.DUMMYFUNCTION("I52-IF(LEN(TRIM(J52))=0,0,COUNTA(SPLIT(J52,"","")))"),2)</f>
        <v>2</v>
      </c>
    </row>
    <row r="53" customHeight="1" spans="1:11">
      <c r="A53" s="6" t="s">
        <v>264</v>
      </c>
      <c r="B53" s="7" t="s">
        <v>179</v>
      </c>
      <c r="C53" s="7" t="s">
        <v>246</v>
      </c>
      <c r="D53" s="8" t="s">
        <v>265</v>
      </c>
      <c r="E53" s="7" t="s">
        <v>266</v>
      </c>
      <c r="F53" s="7" t="s">
        <v>267</v>
      </c>
      <c r="G53" s="7" t="s">
        <v>268</v>
      </c>
      <c r="H53" s="9" t="s">
        <v>18</v>
      </c>
      <c r="I53" s="9">
        <v>2</v>
      </c>
      <c r="J53" s="9" t="s">
        <v>24</v>
      </c>
      <c r="K53" s="6">
        <f>IFERROR(__xludf.DUMMYFUNCTION("I53-IF(LEN(TRIM(J53))=0,0,COUNTA(SPLIT(J53,"","")))"),2)</f>
        <v>2</v>
      </c>
    </row>
    <row r="54" customHeight="1" spans="1:11">
      <c r="A54" s="6" t="s">
        <v>269</v>
      </c>
      <c r="B54" s="7" t="s">
        <v>179</v>
      </c>
      <c r="C54" s="7" t="s">
        <v>246</v>
      </c>
      <c r="D54" s="8" t="s">
        <v>270</v>
      </c>
      <c r="E54" s="7" t="s">
        <v>54</v>
      </c>
      <c r="F54" s="7" t="s">
        <v>271</v>
      </c>
      <c r="G54" s="7" t="s">
        <v>272</v>
      </c>
      <c r="H54" s="9" t="s">
        <v>18</v>
      </c>
      <c r="I54" s="9">
        <v>2</v>
      </c>
      <c r="J54" s="9" t="s">
        <v>24</v>
      </c>
      <c r="K54" s="6">
        <f>IFERROR(__xludf.DUMMYFUNCTION("I54-IF(LEN(TRIM(J54))=0,0,COUNTA(SPLIT(J54,"","")))"),2)</f>
        <v>2</v>
      </c>
    </row>
    <row r="55" customHeight="1" spans="1:11">
      <c r="A55" s="10" t="s">
        <v>273</v>
      </c>
      <c r="B55" s="11" t="s">
        <v>179</v>
      </c>
      <c r="C55" s="11" t="s">
        <v>246</v>
      </c>
      <c r="D55" s="12" t="s">
        <v>274</v>
      </c>
      <c r="E55" s="11" t="s">
        <v>54</v>
      </c>
      <c r="F55" s="11" t="s">
        <v>275</v>
      </c>
      <c r="G55" s="11" t="s">
        <v>276</v>
      </c>
      <c r="H55" s="13" t="s">
        <v>18</v>
      </c>
      <c r="I55" s="13">
        <v>2</v>
      </c>
      <c r="J55" s="13" t="s">
        <v>24</v>
      </c>
      <c r="K55" s="10">
        <f>IFERROR(__xludf.DUMMYFUNCTION("I55-IF(LEN(TRIM(J55))=0,0,COUNTA(SPLIT(J55,"","")))"),2)</f>
        <v>2</v>
      </c>
    </row>
    <row r="56" customHeight="1" spans="1:11">
      <c r="A56" s="14" t="s">
        <v>277</v>
      </c>
      <c r="B56" s="15" t="s">
        <v>179</v>
      </c>
      <c r="C56" s="15" t="s">
        <v>278</v>
      </c>
      <c r="D56" s="16" t="s">
        <v>279</v>
      </c>
      <c r="E56" s="15" t="s">
        <v>280</v>
      </c>
      <c r="F56" s="15" t="s">
        <v>281</v>
      </c>
      <c r="G56" s="15" t="s">
        <v>282</v>
      </c>
      <c r="H56" s="17" t="s">
        <v>29</v>
      </c>
      <c r="I56" s="17">
        <v>2</v>
      </c>
      <c r="J56" s="17" t="s">
        <v>24</v>
      </c>
      <c r="K56" s="14">
        <f>IFERROR(__xludf.DUMMYFUNCTION("I56-IF(LEN(TRIM(J56))=0,0,COUNTA(SPLIT(J56,"","")))"),2)</f>
        <v>2</v>
      </c>
    </row>
    <row r="57" customHeight="1" spans="1:11">
      <c r="A57" s="6" t="s">
        <v>283</v>
      </c>
      <c r="B57" s="7" t="s">
        <v>179</v>
      </c>
      <c r="C57" s="7" t="s">
        <v>278</v>
      </c>
      <c r="D57" s="8" t="s">
        <v>284</v>
      </c>
      <c r="E57" s="7" t="s">
        <v>256</v>
      </c>
      <c r="F57" s="7" t="s">
        <v>285</v>
      </c>
      <c r="G57" s="7" t="s">
        <v>286</v>
      </c>
      <c r="H57" s="9" t="s">
        <v>18</v>
      </c>
      <c r="I57" s="9">
        <v>2</v>
      </c>
      <c r="J57" s="9" t="s">
        <v>24</v>
      </c>
      <c r="K57" s="6">
        <f>IFERROR(__xludf.DUMMYFUNCTION("I57-IF(LEN(TRIM(J57))=0,0,COUNTA(SPLIT(J57,"","")))"),2)</f>
        <v>2</v>
      </c>
    </row>
    <row r="58" customHeight="1" spans="1:11">
      <c r="A58" s="6" t="s">
        <v>287</v>
      </c>
      <c r="B58" s="7" t="s">
        <v>179</v>
      </c>
      <c r="C58" s="7" t="s">
        <v>278</v>
      </c>
      <c r="D58" s="8" t="s">
        <v>288</v>
      </c>
      <c r="E58" s="7" t="s">
        <v>54</v>
      </c>
      <c r="F58" s="7" t="s">
        <v>289</v>
      </c>
      <c r="G58" s="7" t="s">
        <v>290</v>
      </c>
      <c r="H58" s="9" t="s">
        <v>18</v>
      </c>
      <c r="I58" s="9">
        <v>2</v>
      </c>
      <c r="J58" s="9" t="s">
        <v>24</v>
      </c>
      <c r="K58" s="6">
        <f>IFERROR(__xludf.DUMMYFUNCTION("I58-IF(LEN(TRIM(J58))=0,0,COUNTA(SPLIT(J58,"","")))"),2)</f>
        <v>2</v>
      </c>
    </row>
    <row r="59" customHeight="1" spans="1:11">
      <c r="A59" s="6" t="s">
        <v>291</v>
      </c>
      <c r="B59" s="7" t="s">
        <v>179</v>
      </c>
      <c r="C59" s="7" t="s">
        <v>278</v>
      </c>
      <c r="D59" s="8" t="s">
        <v>292</v>
      </c>
      <c r="E59" s="7" t="s">
        <v>293</v>
      </c>
      <c r="F59" s="7" t="s">
        <v>294</v>
      </c>
      <c r="G59" s="7" t="s">
        <v>295</v>
      </c>
      <c r="H59" s="9" t="s">
        <v>18</v>
      </c>
      <c r="I59" s="9">
        <v>2</v>
      </c>
      <c r="J59" s="9" t="s">
        <v>24</v>
      </c>
      <c r="K59" s="6">
        <f>IFERROR(__xludf.DUMMYFUNCTION("I59-IF(LEN(TRIM(J59))=0,0,COUNTA(SPLIT(J59,"","")))"),2)</f>
        <v>2</v>
      </c>
    </row>
    <row r="60" customHeight="1" spans="1:11">
      <c r="A60" s="10" t="s">
        <v>296</v>
      </c>
      <c r="B60" s="11" t="s">
        <v>179</v>
      </c>
      <c r="C60" s="11" t="s">
        <v>278</v>
      </c>
      <c r="D60" s="12" t="s">
        <v>297</v>
      </c>
      <c r="E60" s="11" t="s">
        <v>54</v>
      </c>
      <c r="F60" s="11" t="s">
        <v>298</v>
      </c>
      <c r="G60" s="11" t="s">
        <v>299</v>
      </c>
      <c r="H60" s="13" t="s">
        <v>18</v>
      </c>
      <c r="I60" s="13">
        <v>2</v>
      </c>
      <c r="J60" s="13" t="s">
        <v>24</v>
      </c>
      <c r="K60" s="10">
        <f>IFERROR(__xludf.DUMMYFUNCTION("I60-IF(LEN(TRIM(J60))=0,0,COUNTA(SPLIT(J60,"","")))"),2)</f>
        <v>2</v>
      </c>
    </row>
    <row r="61" customHeight="1" spans="1:11">
      <c r="A61" s="14" t="s">
        <v>300</v>
      </c>
      <c r="B61" s="15" t="s">
        <v>179</v>
      </c>
      <c r="C61" s="15" t="s">
        <v>301</v>
      </c>
      <c r="D61" s="16" t="s">
        <v>302</v>
      </c>
      <c r="E61" s="15" t="s">
        <v>303</v>
      </c>
      <c r="F61" s="15" t="s">
        <v>304</v>
      </c>
      <c r="G61" s="15" t="s">
        <v>305</v>
      </c>
      <c r="H61" s="17" t="s">
        <v>29</v>
      </c>
      <c r="I61" s="17">
        <v>2</v>
      </c>
      <c r="J61" s="17" t="s">
        <v>24</v>
      </c>
      <c r="K61" s="14">
        <f>IFERROR(__xludf.DUMMYFUNCTION("I61-IF(LEN(TRIM(J61))=0,0,COUNTA(SPLIT(J61,"","")))"),2)</f>
        <v>2</v>
      </c>
    </row>
    <row r="62" customHeight="1" spans="1:11">
      <c r="A62" s="6" t="s">
        <v>306</v>
      </c>
      <c r="B62" s="7" t="s">
        <v>179</v>
      </c>
      <c r="C62" s="7" t="s">
        <v>301</v>
      </c>
      <c r="D62" s="8" t="s">
        <v>307</v>
      </c>
      <c r="E62" s="7" t="s">
        <v>308</v>
      </c>
      <c r="F62" s="7" t="s">
        <v>309</v>
      </c>
      <c r="G62" s="7" t="s">
        <v>310</v>
      </c>
      <c r="H62" s="9" t="s">
        <v>29</v>
      </c>
      <c r="I62" s="9">
        <v>2</v>
      </c>
      <c r="J62" s="9" t="s">
        <v>24</v>
      </c>
      <c r="K62" s="6">
        <f>IFERROR(__xludf.DUMMYFUNCTION("I62-IF(LEN(TRIM(J62))=0,0,COUNTA(SPLIT(J62,"","")))"),2)</f>
        <v>2</v>
      </c>
    </row>
    <row r="63" customHeight="1" spans="1:11">
      <c r="A63" s="6" t="s">
        <v>311</v>
      </c>
      <c r="B63" s="7" t="s">
        <v>179</v>
      </c>
      <c r="C63" s="7" t="s">
        <v>301</v>
      </c>
      <c r="D63" s="8" t="s">
        <v>312</v>
      </c>
      <c r="E63" s="7" t="s">
        <v>313</v>
      </c>
      <c r="F63" s="7" t="s">
        <v>314</v>
      </c>
      <c r="G63" s="7" t="s">
        <v>315</v>
      </c>
      <c r="H63" s="9" t="s">
        <v>18</v>
      </c>
      <c r="I63" s="9">
        <v>2</v>
      </c>
      <c r="J63" s="9" t="s">
        <v>24</v>
      </c>
      <c r="K63" s="6">
        <f>IFERROR(__xludf.DUMMYFUNCTION("I63-IF(LEN(TRIM(J63))=0,0,COUNTA(SPLIT(J63,"","")))"),2)</f>
        <v>2</v>
      </c>
    </row>
    <row r="64" customHeight="1" spans="1:11">
      <c r="A64" s="6" t="s">
        <v>316</v>
      </c>
      <c r="B64" s="7" t="s">
        <v>179</v>
      </c>
      <c r="C64" s="7" t="s">
        <v>301</v>
      </c>
      <c r="D64" s="8" t="s">
        <v>317</v>
      </c>
      <c r="E64" s="7" t="s">
        <v>318</v>
      </c>
      <c r="F64" s="7" t="s">
        <v>319</v>
      </c>
      <c r="G64" s="7" t="s">
        <v>320</v>
      </c>
      <c r="H64" s="9" t="s">
        <v>18</v>
      </c>
      <c r="I64" s="9">
        <v>2</v>
      </c>
      <c r="J64" s="9" t="s">
        <v>24</v>
      </c>
      <c r="K64" s="6">
        <f>IFERROR(__xludf.DUMMYFUNCTION("I64-IF(LEN(TRIM(J64))=0,0,COUNTA(SPLIT(J64,"","")))"),2)</f>
        <v>2</v>
      </c>
    </row>
    <row r="65" customHeight="1" spans="1:11">
      <c r="A65" s="10" t="s">
        <v>321</v>
      </c>
      <c r="B65" s="11" t="s">
        <v>179</v>
      </c>
      <c r="C65" s="11" t="s">
        <v>301</v>
      </c>
      <c r="D65" s="12" t="s">
        <v>322</v>
      </c>
      <c r="E65" s="11" t="s">
        <v>15</v>
      </c>
      <c r="F65" s="11" t="s">
        <v>323</v>
      </c>
      <c r="G65" s="11" t="s">
        <v>324</v>
      </c>
      <c r="H65" s="13" t="s">
        <v>18</v>
      </c>
      <c r="I65" s="13">
        <v>2</v>
      </c>
      <c r="J65" s="13" t="s">
        <v>24</v>
      </c>
      <c r="K65" s="10">
        <f>IFERROR(__xludf.DUMMYFUNCTION("I65-IF(LEN(TRIM(J65))=0,0,COUNTA(SPLIT(J65,"","")))"),2)</f>
        <v>2</v>
      </c>
    </row>
    <row r="66" customHeight="1" spans="1:11">
      <c r="A66" s="14" t="s">
        <v>325</v>
      </c>
      <c r="B66" s="15" t="s">
        <v>179</v>
      </c>
      <c r="C66" s="15" t="s">
        <v>326</v>
      </c>
      <c r="D66" s="16" t="s">
        <v>327</v>
      </c>
      <c r="E66" s="15" t="s">
        <v>237</v>
      </c>
      <c r="F66" s="15" t="s">
        <v>328</v>
      </c>
      <c r="G66" s="15" t="s">
        <v>329</v>
      </c>
      <c r="H66" s="17" t="s">
        <v>29</v>
      </c>
      <c r="I66" s="17">
        <v>2</v>
      </c>
      <c r="J66" s="17" t="s">
        <v>24</v>
      </c>
      <c r="K66" s="14">
        <f>IFERROR(__xludf.DUMMYFUNCTION("I66-IF(LEN(TRIM(J66))=0,0,COUNTA(SPLIT(J66,"","")))"),2)</f>
        <v>2</v>
      </c>
    </row>
    <row r="67" customHeight="1" spans="1:11">
      <c r="A67" s="6" t="s">
        <v>330</v>
      </c>
      <c r="B67" s="7" t="s">
        <v>179</v>
      </c>
      <c r="C67" s="7" t="s">
        <v>326</v>
      </c>
      <c r="D67" s="8" t="s">
        <v>331</v>
      </c>
      <c r="E67" s="7" t="s">
        <v>332</v>
      </c>
      <c r="F67" s="7" t="s">
        <v>333</v>
      </c>
      <c r="G67" s="7" t="s">
        <v>334</v>
      </c>
      <c r="H67" s="9" t="s">
        <v>50</v>
      </c>
      <c r="I67" s="9">
        <v>2</v>
      </c>
      <c r="J67" s="9" t="s">
        <v>24</v>
      </c>
      <c r="K67" s="6">
        <f>IFERROR(__xludf.DUMMYFUNCTION("I67-IF(LEN(TRIM(J67))=0,0,COUNTA(SPLIT(J67,"","")))"),2)</f>
        <v>2</v>
      </c>
    </row>
    <row r="68" customHeight="1" spans="1:11">
      <c r="A68" s="6" t="s">
        <v>335</v>
      </c>
      <c r="B68" s="7" t="s">
        <v>179</v>
      </c>
      <c r="C68" s="7" t="s">
        <v>326</v>
      </c>
      <c r="D68" s="8" t="s">
        <v>336</v>
      </c>
      <c r="E68" s="7" t="s">
        <v>337</v>
      </c>
      <c r="F68" s="7" t="s">
        <v>338</v>
      </c>
      <c r="G68" s="7" t="s">
        <v>339</v>
      </c>
      <c r="H68" s="9" t="s">
        <v>29</v>
      </c>
      <c r="I68" s="9">
        <v>2</v>
      </c>
      <c r="J68" s="9" t="s">
        <v>24</v>
      </c>
      <c r="K68" s="6">
        <f>IFERROR(__xludf.DUMMYFUNCTION("I68-IF(LEN(TRIM(J68))=0,0,COUNTA(SPLIT(J68,"","")))"),2)</f>
        <v>2</v>
      </c>
    </row>
    <row r="69" customHeight="1" spans="1:11">
      <c r="A69" s="6" t="s">
        <v>340</v>
      </c>
      <c r="B69" s="7" t="s">
        <v>179</v>
      </c>
      <c r="C69" s="7" t="s">
        <v>326</v>
      </c>
      <c r="D69" s="8" t="s">
        <v>341</v>
      </c>
      <c r="E69" s="7" t="s">
        <v>205</v>
      </c>
      <c r="F69" s="7" t="s">
        <v>342</v>
      </c>
      <c r="G69" s="7" t="s">
        <v>343</v>
      </c>
      <c r="H69" s="9" t="s">
        <v>18</v>
      </c>
      <c r="I69" s="9">
        <v>2</v>
      </c>
      <c r="J69" s="9" t="s">
        <v>24</v>
      </c>
      <c r="K69" s="6">
        <f>IFERROR(__xludf.DUMMYFUNCTION("I69-IF(LEN(TRIM(J69))=0,0,COUNTA(SPLIT(J69,"","")))"),2)</f>
        <v>2</v>
      </c>
    </row>
    <row r="70" customHeight="1" spans="1:11">
      <c r="A70" s="6" t="s">
        <v>344</v>
      </c>
      <c r="B70" s="7" t="s">
        <v>179</v>
      </c>
      <c r="C70" s="7" t="s">
        <v>326</v>
      </c>
      <c r="D70" s="8" t="s">
        <v>345</v>
      </c>
      <c r="E70" s="7" t="s">
        <v>346</v>
      </c>
      <c r="F70" s="7" t="s">
        <v>347</v>
      </c>
      <c r="G70" s="7" t="s">
        <v>348</v>
      </c>
      <c r="H70" s="9" t="s">
        <v>18</v>
      </c>
      <c r="I70" s="9">
        <v>2</v>
      </c>
      <c r="J70" s="9" t="s">
        <v>24</v>
      </c>
      <c r="K70" s="6">
        <f>IFERROR(__xludf.DUMMYFUNCTION("I70-IF(LEN(TRIM(J70))=0,0,COUNTA(SPLIT(J70,"","")))"),2)</f>
        <v>2</v>
      </c>
    </row>
  </sheetData>
  <autoFilter xmlns:etc="http://www.wps.cn/officeDocument/2017/etCustomData" ref="A1:K70" etc:filterBottomFollowUsedRange="0">
    <extLst/>
  </autoFilter>
  <conditionalFormatting sqref="K2:K70">
    <cfRule type="cellIs" dxfId="0" priority="1" stopIfTrue="1" operator="lessThan">
      <formula>0</formula>
    </cfRule>
    <cfRule type="cellIs" dxfId="1" priority="2" stopIfTrue="1" operator="equal">
      <formula>0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tabSelected="1" workbookViewId="0">
      <selection activeCell="F8" sqref="F8"/>
    </sheetView>
  </sheetViews>
  <sheetFormatPr defaultColWidth="9.02654867256637" defaultRowHeight="12.75" outlineLevelRow="7"/>
  <cols>
    <col min="1" max="1" width="7.57522123893805" customWidth="1"/>
    <col min="2" max="2" width="17.1327433628319" customWidth="1"/>
    <col min="3" max="3" width="13.9469026548673" customWidth="1"/>
    <col min="4" max="4" width="22.6371681415929" customWidth="1"/>
    <col min="5" max="5" width="14.2743362831858" customWidth="1"/>
    <col min="6" max="6" width="38.1681415929204" customWidth="1"/>
    <col min="7" max="7" width="19.858407079646" customWidth="1"/>
    <col min="8" max="8" width="9.96460176991151" customWidth="1"/>
  </cols>
  <sheetData>
    <row r="1" ht="26.25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59" customHeight="1" spans="1:11">
      <c r="A2" s="2" t="s">
        <v>11</v>
      </c>
      <c r="B2" s="3" t="s">
        <v>12</v>
      </c>
      <c r="C2" s="3" t="s">
        <v>13</v>
      </c>
      <c r="D2" s="4" t="s">
        <v>14</v>
      </c>
      <c r="E2" s="3" t="s">
        <v>15</v>
      </c>
      <c r="F2" s="3" t="s">
        <v>16</v>
      </c>
      <c r="G2" s="3" t="s">
        <v>17</v>
      </c>
      <c r="H2" s="5" t="s">
        <v>18</v>
      </c>
      <c r="I2" s="5">
        <v>2</v>
      </c>
      <c r="J2" s="5"/>
      <c r="K2" s="2">
        <v>2</v>
      </c>
    </row>
    <row r="3" ht="45" customHeight="1" spans="1:11">
      <c r="A3" s="6" t="s">
        <v>208</v>
      </c>
      <c r="B3" s="7" t="s">
        <v>179</v>
      </c>
      <c r="C3" s="7" t="s">
        <v>203</v>
      </c>
      <c r="D3" s="8" t="s">
        <v>209</v>
      </c>
      <c r="E3" s="7" t="s">
        <v>54</v>
      </c>
      <c r="F3" s="7" t="s">
        <v>210</v>
      </c>
      <c r="G3" s="7" t="s">
        <v>211</v>
      </c>
      <c r="H3" s="9" t="s">
        <v>18</v>
      </c>
      <c r="I3" s="9">
        <v>2</v>
      </c>
      <c r="J3" s="9" t="s">
        <v>24</v>
      </c>
      <c r="K3" s="6">
        <v>2</v>
      </c>
    </row>
    <row r="4" ht="43" customHeight="1" spans="1:11">
      <c r="A4" s="6" t="s">
        <v>235</v>
      </c>
      <c r="B4" s="7" t="s">
        <v>179</v>
      </c>
      <c r="C4" s="7" t="s">
        <v>227</v>
      </c>
      <c r="D4" s="8" t="s">
        <v>236</v>
      </c>
      <c r="E4" s="7" t="s">
        <v>237</v>
      </c>
      <c r="F4" s="7" t="s">
        <v>238</v>
      </c>
      <c r="G4" s="7" t="s">
        <v>239</v>
      </c>
      <c r="H4" s="9" t="s">
        <v>29</v>
      </c>
      <c r="I4" s="9">
        <v>2</v>
      </c>
      <c r="J4" s="9" t="s">
        <v>24</v>
      </c>
      <c r="K4" s="6">
        <v>2</v>
      </c>
    </row>
    <row r="5" ht="40" customHeight="1" spans="1:11">
      <c r="A5" s="10" t="s">
        <v>296</v>
      </c>
      <c r="B5" s="11" t="s">
        <v>179</v>
      </c>
      <c r="C5" s="11" t="s">
        <v>278</v>
      </c>
      <c r="D5" s="12" t="s">
        <v>297</v>
      </c>
      <c r="E5" s="11" t="s">
        <v>54</v>
      </c>
      <c r="F5" s="11" t="s">
        <v>298</v>
      </c>
      <c r="G5" s="11" t="s">
        <v>299</v>
      </c>
      <c r="H5" s="13" t="s">
        <v>18</v>
      </c>
      <c r="I5" s="13">
        <v>2</v>
      </c>
      <c r="J5" s="13" t="s">
        <v>24</v>
      </c>
      <c r="K5" s="10">
        <v>2</v>
      </c>
    </row>
    <row r="6" ht="39" customHeight="1" spans="1:11">
      <c r="A6" s="14" t="s">
        <v>325</v>
      </c>
      <c r="B6" s="15" t="s">
        <v>179</v>
      </c>
      <c r="C6" s="15" t="s">
        <v>326</v>
      </c>
      <c r="D6" s="16" t="s">
        <v>327</v>
      </c>
      <c r="E6" s="15" t="s">
        <v>237</v>
      </c>
      <c r="F6" s="15" t="s">
        <v>328</v>
      </c>
      <c r="G6" s="15" t="s">
        <v>329</v>
      </c>
      <c r="H6" s="17" t="s">
        <v>29</v>
      </c>
      <c r="I6" s="17">
        <v>2</v>
      </c>
      <c r="J6" s="17" t="s">
        <v>24</v>
      </c>
      <c r="K6" s="14">
        <v>2</v>
      </c>
    </row>
    <row r="7" ht="45" customHeight="1" spans="1:11">
      <c r="A7" s="6" t="s">
        <v>340</v>
      </c>
      <c r="B7" s="7" t="s">
        <v>179</v>
      </c>
      <c r="C7" s="7" t="s">
        <v>326</v>
      </c>
      <c r="D7" s="8" t="s">
        <v>341</v>
      </c>
      <c r="E7" s="7" t="s">
        <v>205</v>
      </c>
      <c r="F7" s="7" t="s">
        <v>342</v>
      </c>
      <c r="G7" s="7" t="s">
        <v>343</v>
      </c>
      <c r="H7" s="9" t="s">
        <v>18</v>
      </c>
      <c r="I7" s="9">
        <v>2</v>
      </c>
      <c r="J7" s="9" t="s">
        <v>24</v>
      </c>
      <c r="K7" s="6">
        <v>2</v>
      </c>
    </row>
    <row r="8" ht="70" customHeight="1" spans="1:11">
      <c r="A8" s="18" t="s">
        <v>344</v>
      </c>
      <c r="B8" s="19" t="s">
        <v>179</v>
      </c>
      <c r="C8" s="19" t="s">
        <v>326</v>
      </c>
      <c r="D8" s="20" t="s">
        <v>345</v>
      </c>
      <c r="E8" s="19" t="s">
        <v>346</v>
      </c>
      <c r="F8" s="19" t="s">
        <v>347</v>
      </c>
      <c r="G8" s="19" t="s">
        <v>348</v>
      </c>
      <c r="H8" s="21" t="s">
        <v>18</v>
      </c>
      <c r="I8" s="21">
        <v>2</v>
      </c>
      <c r="J8" s="21" t="s">
        <v>24</v>
      </c>
      <c r="K8" s="18">
        <f>IFERROR(__xludf.DUMMYFUNCTION("I70-IF(LEN(TRIM(J70))=0,0,COUNTA(SPLIT(J70,"","")))"),2)</f>
        <v>2</v>
      </c>
    </row>
  </sheetData>
  <conditionalFormatting sqref="K8">
    <cfRule type="cellIs" dxfId="1" priority="2" stopIfTrue="1" operator="equal">
      <formula>0</formula>
    </cfRule>
    <cfRule type="cellIs" dxfId="0" priority="1" stopIfTrue="1" operator="lessThan">
      <formula>0</formula>
    </cfRule>
  </conditionalFormatting>
  <conditionalFormatting sqref="K2:K7">
    <cfRule type="cellIs" dxfId="0" priority="3" stopIfTrue="1" operator="lessThan">
      <formula>0</formula>
    </cfRule>
    <cfRule type="cellIs" dxfId="1" priority="4" stopIfTrue="1" operator="equal">
      <formula>0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Danh sách đề tài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Thái Hòa</cp:lastModifiedBy>
  <dcterms:created xsi:type="dcterms:W3CDTF">2026-10-03T16:45:00Z</dcterms:created>
  <dcterms:modified xsi:type="dcterms:W3CDTF">2026-10-05T06:33:15Z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4FEF9761247D4E66B0D519C262167030_12</vt:lpwstr>
  </property>
  <property fmtid="{D5CDD505-2E9C-101B-9397-08002B2CF9AE}" pid="3" name="KSOProductBuildVer">
    <vt:lpwstr>1033-12.1.0.26886</vt:lpwstr>
  </property>
  <property fmtid="{D5CDD505-2E9C-101B-9397-08002B2CF9AE}" pid="4" name="CalculationRule">
    <vt:i4>0</vt:i4>
  </property>
</Properties>
</file>